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การเงิน\"/>
    </mc:Choice>
  </mc:AlternateContent>
  <xr:revisionPtr revIDLastSave="0" documentId="13_ncr:1_{916D31F5-404B-4FBE-A503-1FD3DFA721F3}" xr6:coauthVersionLast="47" xr6:coauthVersionMax="47" xr10:uidLastSave="{00000000-0000-0000-0000-000000000000}"/>
  <bookViews>
    <workbookView xWindow="-120" yWindow="-120" windowWidth="20640" windowHeight="11040" firstSheet="1" activeTab="1" xr2:uid="{18ECBF1D-1B5C-4764-9999-3A1FAC10EEC4}"/>
  </bookViews>
  <sheets>
    <sheet name="เงินคงเหลือประจำวัน" sheetId="1" r:id="rId1"/>
    <sheet name="รับ-จ่าย" sheetId="2" r:id="rId2"/>
    <sheet name="เงินเดือนครู" sheetId="3" r:id="rId3"/>
    <sheet name="รายรับ ปีงบ 2569-1" sheetId="11" r:id="rId4"/>
    <sheet name="รายรับ ปีงบ 2568-2" sheetId="14" r:id="rId5"/>
    <sheet name="บันทึกรายจ่าย 68-2" sheetId="15" r:id="rId6"/>
    <sheet name="บันทึกรายจ่าย 68-1" sheetId="12" r:id="rId7"/>
    <sheet name="แบบบันทึกรายจ่าย  ปีงบ2568-1" sheetId="10" r:id="rId8"/>
    <sheet name="เงินลูกเสือ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" i="3" l="1"/>
  <c r="I10" i="11"/>
  <c r="Q63" i="3"/>
  <c r="J63" i="3"/>
  <c r="Q62" i="3"/>
  <c r="J62" i="3"/>
  <c r="Q61" i="3"/>
  <c r="J61" i="3"/>
  <c r="Q60" i="3"/>
  <c r="J60" i="3"/>
  <c r="J57" i="3"/>
  <c r="J56" i="3"/>
  <c r="J55" i="3"/>
  <c r="J54" i="3"/>
  <c r="J53" i="3"/>
  <c r="J52" i="3"/>
  <c r="J51" i="3"/>
  <c r="J50" i="3"/>
  <c r="J49" i="3"/>
  <c r="J48" i="3"/>
  <c r="J47" i="3"/>
  <c r="AP3" i="2"/>
  <c r="C4" i="1" s="1"/>
  <c r="E4" i="1" s="1"/>
  <c r="C23" i="1" s="1"/>
  <c r="AM3" i="2"/>
  <c r="AU11" i="2"/>
  <c r="AT11" i="2"/>
  <c r="C8" i="1"/>
  <c r="E8" i="1" s="1"/>
  <c r="F3" i="2"/>
  <c r="F27" i="9"/>
  <c r="L23" i="9"/>
  <c r="L25" i="9"/>
  <c r="K23" i="9"/>
  <c r="K24" i="9"/>
  <c r="K25" i="9"/>
  <c r="K27" i="9" s="1"/>
  <c r="K26" i="9"/>
  <c r="K22" i="9"/>
  <c r="D22" i="9"/>
  <c r="D27" i="9" s="1"/>
  <c r="H26" i="9"/>
  <c r="L26" i="9" s="1"/>
  <c r="H25" i="9"/>
  <c r="C27" i="9"/>
  <c r="H24" i="9"/>
  <c r="L22" i="9"/>
  <c r="H22" i="9"/>
  <c r="G22" i="9"/>
  <c r="G27" i="9" s="1"/>
  <c r="F22" i="9"/>
  <c r="Q40" i="3"/>
  <c r="A47" i="15"/>
  <c r="B47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K19" i="14"/>
  <c r="AH39" i="2"/>
  <c r="N10" i="14"/>
  <c r="AH21" i="15"/>
  <c r="AG21" i="15"/>
  <c r="AF21" i="15"/>
  <c r="AE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I14" i="14"/>
  <c r="M10" i="14"/>
  <c r="L10" i="14"/>
  <c r="J10" i="14"/>
  <c r="H10" i="14"/>
  <c r="G10" i="14"/>
  <c r="F10" i="14"/>
  <c r="E10" i="14"/>
  <c r="D10" i="14"/>
  <c r="C10" i="14"/>
  <c r="B10" i="14"/>
  <c r="A10" i="14"/>
  <c r="AR11" i="2"/>
  <c r="AQ11" i="2"/>
  <c r="AO11" i="2"/>
  <c r="AN11" i="2"/>
  <c r="AI45" i="2"/>
  <c r="AH45" i="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G10" i="11"/>
  <c r="L10" i="11"/>
  <c r="K10" i="11"/>
  <c r="M10" i="11"/>
  <c r="J10" i="11"/>
  <c r="H10" i="11"/>
  <c r="F10" i="11"/>
  <c r="E10" i="11"/>
  <c r="D10" i="11"/>
  <c r="C10" i="11"/>
  <c r="B10" i="11"/>
  <c r="A10" i="11"/>
  <c r="U71" i="10"/>
  <c r="E71" i="10"/>
  <c r="T66" i="10"/>
  <c r="I66" i="10"/>
  <c r="P65" i="10"/>
  <c r="E65" i="10"/>
  <c r="T59" i="10"/>
  <c r="E59" i="10"/>
  <c r="P57" i="10"/>
  <c r="E57" i="10"/>
  <c r="P54" i="10"/>
  <c r="E54" i="10"/>
  <c r="T53" i="10"/>
  <c r="I53" i="10"/>
  <c r="P50" i="10"/>
  <c r="E50" i="10"/>
  <c r="P42" i="10"/>
  <c r="E42" i="10"/>
  <c r="P38" i="10"/>
  <c r="E38" i="10"/>
  <c r="P36" i="10"/>
  <c r="E36" i="10"/>
  <c r="P35" i="10"/>
  <c r="P33" i="10"/>
  <c r="E33" i="10"/>
  <c r="P32" i="10"/>
  <c r="R18" i="10"/>
  <c r="G18" i="10"/>
  <c r="P11" i="10"/>
  <c r="E11" i="10"/>
  <c r="P10" i="10"/>
  <c r="P9" i="10"/>
  <c r="E9" i="10"/>
  <c r="P8" i="10"/>
  <c r="P6" i="10"/>
  <c r="E6" i="10"/>
  <c r="AV3" i="2" l="1"/>
  <c r="C7" i="1" s="1"/>
  <c r="E7" i="1" s="1"/>
  <c r="C25" i="1" s="1"/>
  <c r="C33" i="1" s="1"/>
  <c r="E33" i="1" s="1"/>
  <c r="H27" i="9"/>
  <c r="L27" i="9" s="1"/>
  <c r="L24" i="9"/>
  <c r="AS3" i="2"/>
  <c r="Q25" i="3"/>
  <c r="Q26" i="3"/>
  <c r="Q27" i="3"/>
  <c r="Q28" i="3"/>
  <c r="Q29" i="3"/>
  <c r="Q30" i="3"/>
  <c r="Q31" i="3"/>
  <c r="Q32" i="3"/>
  <c r="Q33" i="3"/>
  <c r="Q34" i="3"/>
  <c r="J25" i="3"/>
  <c r="J26" i="3"/>
  <c r="J27" i="3"/>
  <c r="J28" i="3"/>
  <c r="J29" i="3"/>
  <c r="J30" i="3"/>
  <c r="J31" i="3"/>
  <c r="J32" i="3"/>
  <c r="J33" i="3"/>
  <c r="J34" i="3"/>
  <c r="Q41" i="3"/>
  <c r="J41" i="3"/>
  <c r="J40" i="3"/>
  <c r="Q39" i="3"/>
  <c r="J39" i="3"/>
  <c r="Q38" i="3"/>
  <c r="J38" i="3"/>
  <c r="Q37" i="3"/>
  <c r="J37" i="3"/>
  <c r="Q24" i="3"/>
  <c r="J24" i="3"/>
  <c r="Q18" i="3"/>
  <c r="Q19" i="3"/>
  <c r="Q20" i="3"/>
  <c r="Q21" i="3"/>
  <c r="Q17" i="3"/>
  <c r="AL15" i="2"/>
  <c r="AK15" i="2"/>
  <c r="Q35" i="3" l="1"/>
  <c r="J35" i="3"/>
  <c r="J21" i="3" l="1"/>
  <c r="J20" i="3"/>
  <c r="J19" i="3"/>
  <c r="J17" i="3"/>
  <c r="J18" i="3"/>
  <c r="Q4" i="3"/>
  <c r="Q5" i="3"/>
  <c r="Q6" i="3"/>
  <c r="Q7" i="3"/>
  <c r="Q8" i="3"/>
  <c r="Q9" i="3"/>
  <c r="Q10" i="3"/>
  <c r="Q11" i="3"/>
  <c r="Q12" i="3"/>
  <c r="Q13" i="3"/>
  <c r="Q14" i="3"/>
  <c r="Q3" i="3"/>
  <c r="J4" i="3"/>
  <c r="J5" i="3"/>
  <c r="J6" i="3"/>
  <c r="J7" i="3"/>
  <c r="J8" i="3"/>
  <c r="J9" i="3"/>
  <c r="J10" i="3"/>
  <c r="J11" i="3"/>
  <c r="J12" i="3"/>
  <c r="J13" i="3"/>
  <c r="J14" i="3"/>
  <c r="J3" i="3"/>
  <c r="H127" i="2"/>
  <c r="Q14" i="2"/>
  <c r="P14" i="2"/>
  <c r="AI39" i="2"/>
  <c r="AF11" i="2"/>
  <c r="AE11" i="2"/>
  <c r="AC14" i="2"/>
  <c r="AB14" i="2"/>
  <c r="Z35" i="2"/>
  <c r="Y35" i="2"/>
  <c r="W13" i="2"/>
  <c r="V13" i="2"/>
  <c r="T42" i="2"/>
  <c r="S42" i="2"/>
  <c r="N21" i="2"/>
  <c r="M21" i="2"/>
  <c r="K11" i="2"/>
  <c r="J11" i="2"/>
  <c r="G127" i="2"/>
  <c r="E11" i="2"/>
  <c r="D11" i="2"/>
  <c r="B79" i="2"/>
  <c r="C3" i="2" s="1"/>
  <c r="C6" i="1" s="1"/>
  <c r="E6" i="1" s="1"/>
  <c r="A79" i="2"/>
  <c r="Q15" i="3" l="1"/>
  <c r="J15" i="3"/>
  <c r="O3" i="2"/>
  <c r="C11" i="1" s="1"/>
  <c r="E11" i="1" s="1"/>
  <c r="AJ3" i="2"/>
  <c r="B18" i="1" s="1"/>
  <c r="L3" i="2"/>
  <c r="C10" i="1" s="1"/>
  <c r="E10" i="1" s="1"/>
  <c r="R3" i="2"/>
  <c r="C12" i="1" s="1"/>
  <c r="E12" i="1" s="1"/>
  <c r="AG3" i="2"/>
  <c r="AA3" i="2"/>
  <c r="U3" i="2"/>
  <c r="C13" i="1" s="1"/>
  <c r="E13" i="1" s="1"/>
  <c r="I3" i="2"/>
  <c r="C9" i="1" s="1"/>
  <c r="E9" i="1" s="1"/>
  <c r="AD3" i="2"/>
  <c r="C16" i="1" s="1"/>
  <c r="E16" i="1" s="1"/>
  <c r="C28" i="1" s="1"/>
  <c r="X3" i="2"/>
  <c r="C14" i="1" s="1"/>
  <c r="E14" i="1" s="1"/>
  <c r="C26" i="1" l="1"/>
  <c r="C34" i="1" s="1"/>
  <c r="E34" i="1" s="1"/>
  <c r="C36" i="1"/>
  <c r="E36" i="1" s="1"/>
  <c r="B21" i="1"/>
  <c r="C37" i="1" s="1"/>
  <c r="D17" i="1"/>
  <c r="D21" i="1" s="1"/>
  <c r="C15" i="1"/>
  <c r="E15" i="1" s="1"/>
  <c r="C27" i="1" s="1"/>
  <c r="C35" i="1" s="1"/>
  <c r="C24" i="1" l="1"/>
  <c r="C32" i="1" s="1"/>
  <c r="E32" i="1" s="1"/>
  <c r="C21" i="1"/>
  <c r="E21" i="1" s="1"/>
  <c r="E35" i="1"/>
  <c r="E18" i="1"/>
  <c r="E17" i="1"/>
  <c r="C29" i="1" l="1"/>
  <c r="C38" i="1"/>
</calcChain>
</file>

<file path=xl/sharedStrings.xml><?xml version="1.0" encoding="utf-8"?>
<sst xmlns="http://schemas.openxmlformats.org/spreadsheetml/2006/main" count="746" uniqueCount="305">
  <si>
    <t>ประเภท</t>
  </si>
  <si>
    <t>เงินสด</t>
  </si>
  <si>
    <t>เงินฝากธนาคาร</t>
  </si>
  <si>
    <t>เงินฝากส่วนราชการผู้เบิก</t>
  </si>
  <si>
    <t>รวม</t>
  </si>
  <si>
    <t>เงินงบประมาณ</t>
  </si>
  <si>
    <t>-</t>
  </si>
  <si>
    <t>เงินรายได้แผ่นดิน</t>
  </si>
  <si>
    <t>เงินนอกงบประมาณประเภท</t>
  </si>
  <si>
    <t xml:space="preserve"> - เงินรายได้สถานศึกษา  (เงินค่าบำรุงลูกเสือ)  </t>
  </si>
  <si>
    <t xml:space="preserve"> - เงินค่าใช้จ่ายในการจัดการศึกษา (รายหัว)</t>
  </si>
  <si>
    <t xml:space="preserve"> - (ค่าหนังสือเรียน)</t>
  </si>
  <si>
    <t xml:space="preserve"> - (ค่าอุปกรณ์การเรียน)</t>
  </si>
  <si>
    <t xml:space="preserve"> - (ค่าเครื่องแบบนักเรียน)</t>
  </si>
  <si>
    <t xml:space="preserve"> - (ค่ากิจกรรมพัฒนาฯ)</t>
  </si>
  <si>
    <t xml:space="preserve"> - เงินอุดหนุนปัจจัยพื้นฐานนักเรียนยากจน</t>
  </si>
  <si>
    <t xml:space="preserve"> - เงินอุดหนุนโครงการอาหารกลางวัน  </t>
  </si>
  <si>
    <t xml:space="preserve"> - เงินอุดหนุนนักเรียนยากจนพิเศษ (กสศ.)</t>
  </si>
  <si>
    <t xml:space="preserve"> - เงินประกันสัญญา</t>
  </si>
  <si>
    <t xml:space="preserve"> - เงินภาษีหัก ณ ที่ จ่าย</t>
  </si>
  <si>
    <t xml:space="preserve"> - บช. เงินรายได้แผ่นดิน</t>
  </si>
  <si>
    <t xml:space="preserve"> - บช. (เงินรายได้สถานศึกษา)เงินบริจาค+ลูกเสือ</t>
  </si>
  <si>
    <t xml:space="preserve"> - บช. อุดหนุน (รายหัว)</t>
  </si>
  <si>
    <t xml:space="preserve"> - บช. อาหารกลางวัน  </t>
  </si>
  <si>
    <t xml:space="preserve"> - บช. กสศ</t>
  </si>
  <si>
    <t>เงินบริจาค</t>
  </si>
  <si>
    <t>รับ</t>
  </si>
  <si>
    <t>จ่าย</t>
  </si>
  <si>
    <t>คงเหลือ</t>
  </si>
  <si>
    <t>ยอดยกมา&gt;</t>
  </si>
  <si>
    <t>เงินลูกเสือ</t>
  </si>
  <si>
    <t>หนังสือเรียน</t>
  </si>
  <si>
    <t>อุปกรณ์การเรียน</t>
  </si>
  <si>
    <t>พัฒนาผู้เรียน</t>
  </si>
  <si>
    <t>พื้นฐานยากจน</t>
  </si>
  <si>
    <t>อาหารกลางวัน</t>
  </si>
  <si>
    <t>กสศ</t>
  </si>
  <si>
    <t>ประกันสัญญา</t>
  </si>
  <si>
    <t>ภาษีหัก ณ ที่จ่าย</t>
  </si>
  <si>
    <t>เครื่องแบบนักเรียน</t>
  </si>
  <si>
    <t>ค่าจัดการเรียนการสอน</t>
  </si>
  <si>
    <t>13 หลัก</t>
  </si>
  <si>
    <t>ผอ.</t>
  </si>
  <si>
    <t>ยา</t>
  </si>
  <si>
    <t>นารี</t>
  </si>
  <si>
    <t>แมว</t>
  </si>
  <si>
    <t>แก้ว</t>
  </si>
  <si>
    <t>กาญ</t>
  </si>
  <si>
    <t>สรคม</t>
  </si>
  <si>
    <t>ตุ๊ก</t>
  </si>
  <si>
    <t>ส้ม</t>
  </si>
  <si>
    <t>ใหม่</t>
  </si>
  <si>
    <t>แจ๊ก</t>
  </si>
  <si>
    <t>ภาม</t>
  </si>
  <si>
    <t>ต.ค.66</t>
  </si>
  <si>
    <t>พ.ย.66</t>
  </si>
  <si>
    <t>ธ.ค.66</t>
  </si>
  <si>
    <t>ม.ค.67</t>
  </si>
  <si>
    <t>ก.พ.67</t>
  </si>
  <si>
    <t>มี.ค 67</t>
  </si>
  <si>
    <t xml:space="preserve"> </t>
  </si>
  <si>
    <t>พร</t>
  </si>
  <si>
    <t>เจน</t>
  </si>
  <si>
    <t>หน่อย</t>
  </si>
  <si>
    <t>นิค</t>
  </si>
  <si>
    <t>จอก</t>
  </si>
  <si>
    <t>1.</t>
  </si>
  <si>
    <t>ด้านการบริหารงานวิชาการ</t>
  </si>
  <si>
    <t>1.1</t>
  </si>
  <si>
    <t>โครงการ/กิจกรรมการเรียนการสอนตามแผนปฏิบัติการประจำปี (ไม่รวมข้อ 1.2 -1.7)</t>
  </si>
  <si>
    <t>1.2</t>
  </si>
  <si>
    <t xml:space="preserve">หนังสือห้องสมุด </t>
  </si>
  <si>
    <t>1.3</t>
  </si>
  <si>
    <t>1.4</t>
  </si>
  <si>
    <t>1.5</t>
  </si>
  <si>
    <t>1.6</t>
  </si>
  <si>
    <t>กิจกรรมพัฒนาคุณภาพผู้เรียน</t>
  </si>
  <si>
    <t>1.7</t>
  </si>
  <si>
    <t>อื่น ๆ</t>
  </si>
  <si>
    <t>2.</t>
  </si>
  <si>
    <t>ด้านการบริหารงานบุคคล</t>
  </si>
  <si>
    <t>2.1</t>
  </si>
  <si>
    <t>ค่าใช้จ่ายสำหรับบุคลากร</t>
  </si>
  <si>
    <t>(1) งบบุคลากร (เงินเดือน, ค่าจ้างประจำ, ค่าตอบแทนพนักงานราชการ วิทยฐานะ ค่าตอบแทนรายเดือน และ
เงินที่จ่ายควบพร้อมเงินเดือน) [ส่วนที่ 3 ข้อ 2.3]</t>
  </si>
  <si>
    <t>(2) ค่าจ้างครูอัตราจ้างรายเดือน โดย สพฐ.
[ส่วนที่ 3 ข้อ 2.4(1)]</t>
  </si>
  <si>
    <t>(3) ค่าจ้างครูและบุคลากร (ได้รับจากท้องถิ่น)</t>
  </si>
  <si>
    <t>(4) ค่าจ้างครูอัตราจ้างรายเดือน โดย เงินอื่นๆ (เช่นเงินอุดหนุนรายหัว เงินบำรุงการศึกษา เงินบริจาค และเงินรายได้สถานศึกษา เป็นต้น)</t>
  </si>
  <si>
    <t>(5) ค่าจ้างธุรการโครงการคืนครูให้นักเรียน 
[ส่วนที่ 3 ข้อ 2.4(2)]</t>
  </si>
  <si>
    <t>(6) ค่าจ้างเจ้าหน้าที่ประจำห้องปฏิบัติการ 
[ส่วนที่ 3 ข้อ 2.4(3)]</t>
  </si>
  <si>
    <t>(7) ค่าจ้างพี่เลี้ยงเด็กพิการ [ส่วนที่ 3 ข้อ 2.4(4)]</t>
  </si>
  <si>
    <t>(8) ค่าตอบแทนวิทยากรบุคคลภายนอกรายชั่วโมง
(ยกเว้นค่าตอบแทนวิทยากรผู้สอนศาสนาอิสลาม)</t>
  </si>
  <si>
    <t xml:space="preserve">(9) ค่าจ้างบุคลากรอื่นๆ (บรรณารักษ์ , พยาบาล, แม่บ้าน,
แม่ครัว,ทำความสะอาด คนงานดูแลสวน , ดูแลหอพัก ฯลฯ ) </t>
  </si>
  <si>
    <t>(10) ค่าตอบแทนพิเศษเงินเดือนเต็มขั้น 
[ส่วนที่ 3 ข้อ 2.4(5)]</t>
  </si>
  <si>
    <t>(11) ค่าตอบแทนวิทยากร/ครูผู้สอนศาสนาอิสลาม  
[ส่วนที่ 3 ข้อ 2.4(6)]</t>
  </si>
  <si>
    <t>(12) ค่าตอบแทนพิเศษรายเดือนสำหรับข้าราชการ พนักงานราชการและลูกจ้างที่ปฏิบัติหน้าที่ในพื้นที่พิเศษ 
[ส่วนที่ 3 ข้อ 2.4(7)]</t>
  </si>
  <si>
    <t>(13) เงินสมทบกองทุนประกันสังคม 
(เช่น สพฐ. สพป. สพม. โรงเรียน อปท. เป็นต้น)
[ส่วนที่ 3 ข้อ 2.4(8)]</t>
  </si>
  <si>
    <t>(14) ค่าเช่าบ้าน  [ส่วนที่ 3 ข้อ 2.4(9)]</t>
  </si>
  <si>
    <t>2.2</t>
  </si>
  <si>
    <t>โครงการพัฒนาบุคลากรตามแผนปฏิบัติการประจำปี</t>
  </si>
  <si>
    <t>2.3</t>
  </si>
  <si>
    <t>3.</t>
  </si>
  <si>
    <t>ด้านการบริหารงบประมาณ</t>
  </si>
  <si>
    <t>3.1</t>
  </si>
  <si>
    <t>ค่าครุภัณฑ์</t>
  </si>
  <si>
    <t>3.2</t>
  </si>
  <si>
    <t>ค่าซ่อมแซมครุภัณฑ์</t>
  </si>
  <si>
    <t>3.3</t>
  </si>
  <si>
    <t>ค่าก่อสร้างอาคารเรียน อาคารประกอบและสิ่งก่อสร้างอื่น</t>
  </si>
  <si>
    <t>3.4</t>
  </si>
  <si>
    <t>ค่าปรับปรุง/ขยายเขตระบบไฟฟ้า ประปา</t>
  </si>
  <si>
    <t>3.5</t>
  </si>
  <si>
    <t>ค่าปรับปรุงซ่อมแซมอาคารเรียน อาคารประกอบ 
และสิ่งก่อสร้างอื่น</t>
  </si>
  <si>
    <t>3.6</t>
  </si>
  <si>
    <t>เงินเหลือจ่ายจากการก่อหนี้ผูกพัน</t>
  </si>
  <si>
    <t>3.7</t>
  </si>
  <si>
    <t>โครงการการบริหารงบประมาณตามแผนปฏิบัติการประจำปี</t>
  </si>
  <si>
    <t>3.8</t>
  </si>
  <si>
    <t>อื่น ๆ (เช่น  ค่ากำจัดปลวก เป็นต้น)</t>
  </si>
  <si>
    <t>4.</t>
  </si>
  <si>
    <t>ด้านการบริหารทั่วไป</t>
  </si>
  <si>
    <t xml:space="preserve"> ค่าสาธารณูปโภค</t>
  </si>
  <si>
    <t>(1) ค่าไฟฟ้า</t>
  </si>
  <si>
    <t>(2) ค่าน้ำประปา</t>
  </si>
  <si>
    <t>(3) ค่าโทรศัพท์</t>
  </si>
  <si>
    <t>(4) ค่าไปรษณีย์และโทรเลข</t>
  </si>
  <si>
    <t>(5) ค่าอินเทอร์เน็ต (เงินที่ใช้จากการจัดสรรของสพฐ.
/สพป./สพม.  เงินรายหัว และเงินอื่นๆ)</t>
  </si>
  <si>
    <t>(6) ค่าอินเทอร์เน็ต (เงินกิจกรรมพัฒนาผู้เรียน)</t>
  </si>
  <si>
    <t>4.2</t>
  </si>
  <si>
    <t>ค่าน้ำมันเชื้อเพลิง/ก๊าซเชื้อเพลิง</t>
  </si>
  <si>
    <t>4.3</t>
  </si>
  <si>
    <t>ค่าเบี้ยเลี้ยง ที่พัก พาหนะ</t>
  </si>
  <si>
    <t>4.4</t>
  </si>
  <si>
    <t>ค่าวัสดุ</t>
  </si>
  <si>
    <t>4.5</t>
  </si>
  <si>
    <t>ค่าใช้จ่ายกิจกรรมความสัมพันธ์ชุมชน</t>
  </si>
  <si>
    <t>4.6</t>
  </si>
  <si>
    <t>เงินประกันสัญญา</t>
  </si>
  <si>
    <t>4.7</t>
  </si>
  <si>
    <t>เงินภาษีหัก ณ ที่จ่าย จากสัญญาซื้อ/จ้างของโรงเรียน</t>
  </si>
  <si>
    <t>4.8</t>
  </si>
  <si>
    <t>โครงการบริหารทั่วไปตามแผนปฏิบัติการประจำปี</t>
  </si>
  <si>
    <t>4.9</t>
  </si>
  <si>
    <t>อื่น ๆ (เช่น ค่าเช่าที่ดิน,  ค่าบำรุงรักษาคอมพิวเตอร์ เป็นต้น)</t>
  </si>
  <si>
    <t>5.</t>
  </si>
  <si>
    <t>ด้านกิจการนักเรียน (ค่าใช้จ่ายเกี่ยวกับการเยี่ยมบ้าน รับนักเรียน
แนะแนว ระบบดูแลช่วยเหลือนักเรียน)</t>
  </si>
  <si>
    <t>5.1</t>
  </si>
  <si>
    <t>ปัจจัยพื้นฐานสำหรับนักเรียนยากจน</t>
  </si>
  <si>
    <t>5.2</t>
  </si>
  <si>
    <t>ค่าอาหารนักเรียนประจำพักนอน</t>
  </si>
  <si>
    <t>5.3</t>
  </si>
  <si>
    <t>ค่าอาหารกลางวัน  (ได้รับจากท้องถิ่น)</t>
  </si>
  <si>
    <t>5.4</t>
  </si>
  <si>
    <t>5.5</t>
  </si>
  <si>
    <t>เงินเนตรนารี/ผู้บำเพ็ญประโยชน์</t>
  </si>
  <si>
    <t>5.6</t>
  </si>
  <si>
    <t>เงินยุวกาชาด</t>
  </si>
  <si>
    <t>5.7</t>
  </si>
  <si>
    <t>โครงการ/กิจกรรมจากเงินทุนหมุนเวียนส่งเสริม
ผลผลิตเพื่อโครงการอาหารกลางวัน</t>
  </si>
  <si>
    <t>5.8</t>
  </si>
  <si>
    <t xml:space="preserve">เงินค่าใช้จ่ายในการดำเนินงาน กยศ. </t>
  </si>
  <si>
    <t>5.9</t>
  </si>
  <si>
    <t>โครงการงานกิจการนักเรียนตามแผนปฏิบัติการประจำปี</t>
  </si>
  <si>
    <t>5.10</t>
  </si>
  <si>
    <t>อื่น ๆ (เช่น  ทุนการศึกษา เป็นต้น)</t>
  </si>
  <si>
    <t>6.1</t>
  </si>
  <si>
    <t>ค่าขายของเบ็ตเตล็ด</t>
  </si>
  <si>
    <t>6.2</t>
  </si>
  <si>
    <t>ค่าธรรมเนียมเบ็ตเตล็ด</t>
  </si>
  <si>
    <t>6.3</t>
  </si>
  <si>
    <t>เงินอุดหนุนทั่วไปที่เหลือจ่ายเกิน 2 ปีงบประมาณ</t>
  </si>
  <si>
    <t>6.4</t>
  </si>
  <si>
    <t>ดอกเบี้ยเงินฝากฯ</t>
  </si>
  <si>
    <t>6.5</t>
  </si>
  <si>
    <t>รวมรายจ่ายทั้งสิ้น(1+2+3+4+5+6)</t>
  </si>
  <si>
    <t>ที่</t>
  </si>
  <si>
    <t>รายจ่าย</t>
  </si>
  <si>
    <t>ครั้งที่ 1 ภาคเรียนที่ 2</t>
  </si>
  <si>
    <t>เงินนอกงบประมาณ</t>
  </si>
  <si>
    <t>เงินรายได้
แผ่นดิน</t>
  </si>
  <si>
    <t>โครงการเรียนฟรี</t>
  </si>
  <si>
    <t>เงินบำรุง
การศึกษา</t>
  </si>
  <si>
    <t>เงินรายได้
สถานศึกษา</t>
  </si>
  <si>
    <t>1. ด้านวิชาการ</t>
  </si>
  <si>
    <t>2. ด้านบริหารงานบุคคล</t>
  </si>
  <si>
    <t>3. ด้านการบริหารงบประมาณ</t>
  </si>
  <si>
    <t>4. ด้านการบริหารทั่วไป</t>
  </si>
  <si>
    <t>5. กิจการนักเรียน</t>
  </si>
  <si>
    <t>6. เงินรายได้แผ่นดิน</t>
  </si>
  <si>
    <t>1.1 โครงการ/กิจกรรมตามแผน</t>
  </si>
  <si>
    <t>1.2หนังสือห้องสมุด</t>
  </si>
  <si>
    <t>1.3หนังสือเรียน</t>
  </si>
  <si>
    <t>1.4อุปรณ์การเรียน</t>
  </si>
  <si>
    <t>1.5เครื่องแบบนักเรียน</t>
  </si>
  <si>
    <t>1.6กิจกรรมพัฒนาผู้เรียน</t>
  </si>
  <si>
    <t>1.7 อื่นๆ</t>
  </si>
  <si>
    <t>4. จ้างครูอัตราจ้างรายเดือนโดยใช้เงินอื่นๆ</t>
  </si>
  <si>
    <t>8. ค่าตอบแทนวิยากรภายนอกรายช่วโมง</t>
  </si>
  <si>
    <t>2.2 โครงการพัฒนาบุคคลากรตามแผนปฏิบัติการ</t>
  </si>
  <si>
    <t>2.3 อื่นๆ</t>
  </si>
  <si>
    <t>3.1 ค่าครุภัณฑ์</t>
  </si>
  <si>
    <t>3.2 ค่าซ่อมแซม</t>
  </si>
  <si>
    <t>3.3 ก่อสร้างอาคารเรียน อาคารประกอบ</t>
  </si>
  <si>
    <t>3.4 ค่าปรับปรุง/ขยายเขตระบบไฟฟ้า</t>
  </si>
  <si>
    <t>3.5 ค่าปรับปรุงซ่อมแซมอาคาร อาคารประกอบ</t>
  </si>
  <si>
    <t>3.7 โครงการบริหารงบประมาณตามแผนฯ</t>
  </si>
  <si>
    <t>3.8 อื่นๆ</t>
  </si>
  <si>
    <t>ค่าไฟฟ้า</t>
  </si>
  <si>
    <t>ค่าเบี้ยเลี้ยงเลี้ยง ค่าที่พัก ค่าพาหณะ</t>
  </si>
  <si>
    <t>โครงการบริหารทั่วไปตามแผนปฏิบัติการฯ</t>
  </si>
  <si>
    <t>อื่นๆ</t>
  </si>
  <si>
    <t>5.4 เงินลูกเสือ</t>
  </si>
  <si>
    <t>5.9 โครงการงานกิจกรรมนักเรียนตามแผนฯ</t>
  </si>
  <si>
    <t>6.1 ค่าขายของเบ็ตเล็ต</t>
  </si>
  <si>
    <t>6.4 ดอกเบี้ยเงินฝาก</t>
  </si>
  <si>
    <t>6.5 อื่นๆ</t>
  </si>
  <si>
    <t>รอบที่ 1</t>
  </si>
  <si>
    <t>รอบที่ 2</t>
  </si>
  <si>
    <t>หลักประกันสุขภาพ อบต.</t>
  </si>
  <si>
    <t>บัญชีเงินอุดหนุน เลขบัญชี 672-8-37706-9</t>
  </si>
  <si>
    <t>บัญชีเงินอาหารกลางวัน เลขบัญชี 672-8-37707-7</t>
  </si>
  <si>
    <t>บัญชี กศส.เพื่อโรงเรียนบ้านท่าชะอม เลขบัญชี 677-7-06005-7</t>
  </si>
  <si>
    <t>เม.ย.67</t>
  </si>
  <si>
    <t>พ.ค.67</t>
  </si>
  <si>
    <t>มิ.ย.67</t>
  </si>
  <si>
    <t>ก.ค.67</t>
  </si>
  <si>
    <t>ส.ค.67</t>
  </si>
  <si>
    <t>ก.ย.67</t>
  </si>
  <si>
    <t> (5.6) เงินภาษี หัก ณ ที่จ่าย</t>
  </si>
  <si>
    <t>ครั้งที่ 2 ภาคเรียนที่ 1</t>
  </si>
  <si>
    <t>กองทุนหลักประกันสุขภาพ</t>
  </si>
  <si>
    <t>เดียร์</t>
  </si>
  <si>
    <t>ตง</t>
  </si>
  <si>
    <t>ต.ค.67</t>
  </si>
  <si>
    <t>พ.ย.67</t>
  </si>
  <si>
    <t>ธ.ค.67</t>
  </si>
  <si>
    <t>ม.ค.68</t>
  </si>
  <si>
    <t>ก.พ.68</t>
  </si>
  <si>
    <t>มี.ค 68</t>
  </si>
  <si>
    <t>เม.ย.68</t>
  </si>
  <si>
    <t>พ.ค.68</t>
  </si>
  <si>
    <t>มิ.ย.68</t>
  </si>
  <si>
    <t>ก.ค.68</t>
  </si>
  <si>
    <t>ส.ค.68</t>
  </si>
  <si>
    <t>ก.ย.68</t>
  </si>
  <si>
    <t>ตลอดชีพ</t>
  </si>
  <si>
    <t>รายปี</t>
  </si>
  <si>
    <t>ดอกเบี้ย</t>
  </si>
  <si>
    <t>ตรวจสอบ</t>
  </si>
  <si>
    <t>ตามบัญชี</t>
  </si>
  <si>
    <t xml:space="preserve"> 1 ตุลาคม 67 - 31 มีนาคม 68</t>
  </si>
  <si>
    <t xml:space="preserve"> 1 เมษายน 68 - 30 กันยายน 68</t>
  </si>
  <si>
    <t>4.2 อาหารกลางวัน</t>
  </si>
  <si>
    <t>5.2 รายได้สถานศึกษา</t>
  </si>
  <si>
    <t>5.7 ลูกเสือ</t>
  </si>
  <si>
    <t>5.5 เงินประกันสัญญา</t>
  </si>
  <si>
    <r>
      <t xml:space="preserve"> (6.4) รายได้แผ่นดิน </t>
    </r>
    <r>
      <rPr>
        <i/>
        <u/>
        <sz val="14"/>
        <color rgb="FF000000"/>
        <rFont val="Calibri"/>
        <family val="2"/>
        <scheme val="minor"/>
      </rPr>
      <t>ดอกเบี้ยเงินฝาก</t>
    </r>
  </si>
  <si>
    <t>2.1(1) รายหัว</t>
  </si>
  <si>
    <t>2.1(2) ค่าหนังสือเรียน</t>
  </si>
  <si>
    <t>2.1(3) ค่าอุปกรณ์การเรียน</t>
  </si>
  <si>
    <t>2.1(4) ค่าเครื่องแบบนักเรียน</t>
  </si>
  <si>
    <t>2.1(5) ค่ากิจกรรมพัฒนาคุณภาพผู้เรียน</t>
  </si>
  <si>
    <t> 2.1(6) ปัจจัยพื้นฐานสำหรับนักเรียนยากจน</t>
  </si>
  <si>
    <t> 3.3 ปัจจัยพื้นฐานสำหรับนักเรียนยากจน (กสศ)</t>
  </si>
  <si>
    <t>4. จ้างครูอัตราจ้างรายเดือนโดยใช้เงินอื่นๆ(เงินบริจาค)</t>
  </si>
  <si>
    <t>5.10ทุน(เงินบริจาค)</t>
  </si>
  <si>
    <r>
      <rPr>
        <b/>
        <sz val="14"/>
        <color rgb="FFFF0000"/>
        <rFont val="TH SarabunPSK"/>
        <family val="2"/>
      </rPr>
      <t xml:space="preserve">เงินหักภาษี </t>
    </r>
    <r>
      <rPr>
        <b/>
        <sz val="14"/>
        <color theme="1"/>
        <rFont val="TH SarabunPSK"/>
        <family val="2"/>
      </rPr>
      <t>ณที่จ่าย</t>
    </r>
  </si>
  <si>
    <r>
      <t xml:space="preserve">5.1 </t>
    </r>
    <r>
      <rPr>
        <b/>
        <sz val="14"/>
        <color rgb="FFFF0000"/>
        <rFont val="TH SarabunPSK"/>
        <family val="2"/>
      </rPr>
      <t>ปัจจัยพื้นฐานนักเรียนยากจน</t>
    </r>
  </si>
  <si>
    <r>
      <t>5.3 ค่าอาหาร</t>
    </r>
    <r>
      <rPr>
        <b/>
        <sz val="14"/>
        <color rgb="FFFF0000"/>
        <rFont val="TH SarabunPSK"/>
        <family val="2"/>
      </rPr>
      <t>กลางวันจาก อบต.</t>
    </r>
  </si>
  <si>
    <r>
      <t xml:space="preserve">5.10 อื่นๆ </t>
    </r>
    <r>
      <rPr>
        <b/>
        <sz val="14"/>
        <color rgb="FFFF0000"/>
        <rFont val="TH SarabunPSK"/>
        <family val="2"/>
      </rPr>
      <t>(ทุน กสศ.)</t>
    </r>
  </si>
  <si>
    <t>ตามรายงาน</t>
  </si>
  <si>
    <t>รายได้แผ่นดิน</t>
  </si>
  <si>
    <t>เงินสด (เช็คธนาคาร)</t>
  </si>
  <si>
    <t>เงินโครงการลูกเสือสำรอง</t>
  </si>
  <si>
    <t>2.1(1) จัดการเรียนการสอน(รายหัว)</t>
  </si>
  <si>
    <t>5.2 รายได้สถานศึกษา(เงินบริจาค)</t>
  </si>
  <si>
    <t>5.10 เงินอุดหนุนอบรมลูกเสือ</t>
  </si>
  <si>
    <t>5.11 ทุนการศึกษา</t>
  </si>
  <si>
    <t>อบรมลูกเสือ</t>
  </si>
  <si>
    <t>อัตราจัดเก็บ</t>
  </si>
  <si>
    <t>ลูกเสือ</t>
  </si>
  <si>
    <t>ผบ.ลูกเสือ</t>
  </si>
  <si>
    <t>จำนวนคน(1)</t>
  </si>
  <si>
    <t>หักค่าบำรุงลูกเสือโลก(2)</t>
  </si>
  <si>
    <t>อัตราต่อคน(3)</t>
  </si>
  <si>
    <t>เงินที่เก็บไว้ที่กองลูกเสือ</t>
  </si>
  <si>
    <t>เงินที่นำส่งทั้งสิ้น</t>
  </si>
  <si>
    <t>เจ้าหน้าที่ลูกเสือ/บุคลากรทางการลูกเสือ(ตลอดชีพ)</t>
  </si>
  <si>
    <t>รวมทั้งสิ้น</t>
  </si>
  <si>
    <t>คงเหลือนำส่ง(4)</t>
  </si>
  <si>
    <t>อัตราต่อคน(2)+(4)</t>
  </si>
  <si>
    <t>รวมจำนวนเงิน(1)x(3)</t>
  </si>
  <si>
    <t>จัดเก็บทั้งหมด</t>
  </si>
  <si>
    <t xml:space="preserve"> - เงินรายได้สถานศึกษา  (เงินบริจาคธนาคารกรุงไทย)  </t>
  </si>
  <si>
    <t xml:space="preserve"> - เงินรายได้สถานศึกษา  (เงินบริจาคธนาคาร ธ.ก.ส.)  </t>
  </si>
  <si>
    <t>เงินบริจาคธนาคาร ธกส</t>
  </si>
  <si>
    <t xml:space="preserve"> - บช. (เงินรายได้สถานศึกษา)เงินบริจาค ธกส</t>
  </si>
  <si>
    <t>บัญชีเงินบริจาคเพื่อการศึกษากรุงไทย เลขบัญชี 661-1-80797-7</t>
  </si>
  <si>
    <t>บัญชีเงินบริจาคเพื่อการศึกษา ธกส เลขบัญชี 020249721560</t>
  </si>
  <si>
    <t>ตค68</t>
  </si>
  <si>
    <t>พย68</t>
  </si>
  <si>
    <t>ธค68</t>
  </si>
  <si>
    <t>มค69</t>
  </si>
  <si>
    <t>กพ69</t>
  </si>
  <si>
    <t>มีค69</t>
  </si>
  <si>
    <t>รส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</si>
</sst>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3F3F76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TH SarabunPSK"/>
      <family val="2"/>
      <charset val="222"/>
    </font>
    <font>
      <b/>
      <sz val="14"/>
      <color theme="1"/>
      <name val="Angsana New"/>
      <family val="1"/>
    </font>
    <font>
      <i/>
      <sz val="14"/>
      <color rgb="FF000000"/>
      <name val="Calibri"/>
      <family val="2"/>
      <scheme val="minor"/>
    </font>
    <font>
      <b/>
      <sz val="16"/>
      <color theme="1"/>
      <name val="Angsana New"/>
      <family val="1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TH SarabunPSK"/>
      <family val="2"/>
    </font>
    <font>
      <sz val="11"/>
      <color rgb="FF9C5700"/>
      <name val="Calibri"/>
      <family val="2"/>
      <scheme val="minor"/>
    </font>
    <font>
      <b/>
      <sz val="14"/>
      <name val="Calibri"/>
      <family val="2"/>
      <scheme val="minor"/>
    </font>
    <font>
      <i/>
      <u/>
      <sz val="14"/>
      <color rgb="FF000000"/>
      <name val="Calibri"/>
      <family val="2"/>
      <scheme val="minor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  <font>
      <b/>
      <sz val="14"/>
      <name val="TH SarabunPSK"/>
      <family val="2"/>
    </font>
    <font>
      <sz val="8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0D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3" fillId="16" borderId="0" applyNumberFormat="0" applyBorder="0" applyAlignment="0" applyProtection="0"/>
    <xf numFmtId="0" fontId="4" fillId="17" borderId="0" applyNumberFormat="0" applyBorder="0" applyAlignment="0" applyProtection="0"/>
    <xf numFmtId="0" fontId="5" fillId="18" borderId="5" applyNumberFormat="0" applyAlignment="0" applyProtection="0"/>
    <xf numFmtId="0" fontId="2" fillId="19" borderId="6" applyNumberFormat="0" applyFont="0" applyAlignment="0" applyProtection="0"/>
    <xf numFmtId="0" fontId="9" fillId="0" borderId="0"/>
    <xf numFmtId="43" fontId="9" fillId="0" borderId="0" applyFont="0" applyFill="0" applyBorder="0" applyAlignment="0" applyProtection="0"/>
    <xf numFmtId="0" fontId="20" fillId="29" borderId="0" applyNumberFormat="0" applyBorder="0" applyAlignment="0" applyProtection="0"/>
  </cellStyleXfs>
  <cellXfs count="175">
    <xf numFmtId="0" fontId="0" fillId="0" borderId="0" xfId="0"/>
    <xf numFmtId="4" fontId="1" fillId="2" borderId="0" xfId="0" applyNumberFormat="1" applyFont="1" applyFill="1" applyAlignment="1">
      <alignment wrapText="1"/>
    </xf>
    <xf numFmtId="4" fontId="1" fillId="0" borderId="0" xfId="0" applyNumberFormat="1" applyFont="1" applyAlignment="1">
      <alignment wrapText="1"/>
    </xf>
    <xf numFmtId="4" fontId="1" fillId="7" borderId="1" xfId="0" applyNumberFormat="1" applyFont="1" applyFill="1" applyBorder="1" applyAlignment="1">
      <alignment horizontal="right" wrapText="1"/>
    </xf>
    <xf numFmtId="4" fontId="1" fillId="8" borderId="1" xfId="0" applyNumberFormat="1" applyFont="1" applyFill="1" applyBorder="1" applyAlignment="1">
      <alignment wrapText="1"/>
    </xf>
    <xf numFmtId="4" fontId="1" fillId="8" borderId="1" xfId="0" applyNumberFormat="1" applyFont="1" applyFill="1" applyBorder="1" applyAlignment="1">
      <alignment horizontal="right" wrapText="1"/>
    </xf>
    <xf numFmtId="4" fontId="1" fillId="4" borderId="1" xfId="0" applyNumberFormat="1" applyFont="1" applyFill="1" applyBorder="1" applyAlignment="1">
      <alignment horizontal="right" wrapText="1"/>
    </xf>
    <xf numFmtId="4" fontId="1" fillId="0" borderId="1" xfId="0" applyNumberFormat="1" applyFont="1" applyBorder="1" applyAlignment="1">
      <alignment wrapText="1"/>
    </xf>
    <xf numFmtId="4" fontId="1" fillId="0" borderId="1" xfId="0" applyNumberFormat="1" applyFont="1" applyBorder="1" applyAlignment="1">
      <alignment horizontal="right" wrapText="1"/>
    </xf>
    <xf numFmtId="4" fontId="1" fillId="5" borderId="1" xfId="0" applyNumberFormat="1" applyFont="1" applyFill="1" applyBorder="1" applyAlignment="1">
      <alignment horizontal="right" wrapText="1"/>
    </xf>
    <xf numFmtId="4" fontId="1" fillId="7" borderId="1" xfId="0" applyNumberFormat="1" applyFont="1" applyFill="1" applyBorder="1" applyAlignment="1">
      <alignment wrapText="1"/>
    </xf>
    <xf numFmtId="4" fontId="1" fillId="9" borderId="1" xfId="0" applyNumberFormat="1" applyFont="1" applyFill="1" applyBorder="1" applyAlignment="1">
      <alignment wrapText="1"/>
    </xf>
    <xf numFmtId="4" fontId="1" fillId="9" borderId="1" xfId="0" applyNumberFormat="1" applyFont="1" applyFill="1" applyBorder="1" applyAlignment="1">
      <alignment horizontal="right" wrapText="1"/>
    </xf>
    <xf numFmtId="4" fontId="1" fillId="0" borderId="0" xfId="0" applyNumberFormat="1" applyFont="1" applyAlignment="1">
      <alignment horizontal="right" wrapText="1"/>
    </xf>
    <xf numFmtId="4" fontId="1" fillId="10" borderId="1" xfId="0" applyNumberFormat="1" applyFont="1" applyFill="1" applyBorder="1" applyAlignment="1">
      <alignment horizontal="left" wrapText="1"/>
    </xf>
    <xf numFmtId="4" fontId="1" fillId="11" borderId="1" xfId="0" applyNumberFormat="1" applyFont="1" applyFill="1" applyBorder="1" applyAlignment="1">
      <alignment horizontal="left" wrapText="1"/>
    </xf>
    <xf numFmtId="4" fontId="1" fillId="6" borderId="1" xfId="0" applyNumberFormat="1" applyFont="1" applyFill="1" applyBorder="1" applyAlignment="1">
      <alignment horizontal="left" wrapText="1"/>
    </xf>
    <xf numFmtId="4" fontId="1" fillId="5" borderId="1" xfId="0" applyNumberFormat="1" applyFont="1" applyFill="1" applyBorder="1" applyAlignment="1">
      <alignment horizontal="left" wrapText="1"/>
    </xf>
    <xf numFmtId="4" fontId="1" fillId="4" borderId="1" xfId="0" applyNumberFormat="1" applyFont="1" applyFill="1" applyBorder="1" applyAlignment="1">
      <alignment wrapText="1"/>
    </xf>
    <xf numFmtId="4" fontId="1" fillId="5" borderId="1" xfId="0" applyNumberFormat="1" applyFont="1" applyFill="1" applyBorder="1" applyAlignment="1">
      <alignment wrapText="1"/>
    </xf>
    <xf numFmtId="4" fontId="1" fillId="3" borderId="1" xfId="0" applyNumberFormat="1" applyFont="1" applyFill="1" applyBorder="1" applyAlignment="1">
      <alignment horizontal="left" wrapText="1"/>
    </xf>
    <xf numFmtId="4" fontId="1" fillId="10" borderId="1" xfId="0" applyNumberFormat="1" applyFont="1" applyFill="1" applyBorder="1" applyAlignment="1">
      <alignment wrapText="1"/>
    </xf>
    <xf numFmtId="4" fontId="1" fillId="11" borderId="1" xfId="0" applyNumberFormat="1" applyFont="1" applyFill="1" applyBorder="1" applyAlignment="1">
      <alignment wrapText="1"/>
    </xf>
    <xf numFmtId="4" fontId="1" fillId="3" borderId="1" xfId="0" applyNumberFormat="1" applyFont="1" applyFill="1" applyBorder="1" applyAlignment="1">
      <alignment wrapText="1"/>
    </xf>
    <xf numFmtId="4" fontId="1" fillId="6" borderId="1" xfId="0" applyNumberFormat="1" applyFont="1" applyFill="1" applyBorder="1" applyAlignment="1">
      <alignment wrapText="1"/>
    </xf>
    <xf numFmtId="4" fontId="1" fillId="5" borderId="2" xfId="0" applyNumberFormat="1" applyFont="1" applyFill="1" applyBorder="1" applyAlignment="1">
      <alignment wrapText="1"/>
    </xf>
    <xf numFmtId="4" fontId="1" fillId="0" borderId="0" xfId="0" applyNumberFormat="1" applyFont="1" applyAlignment="1">
      <alignment horizontal="center" vertical="center" wrapText="1"/>
    </xf>
    <xf numFmtId="4" fontId="1" fillId="0" borderId="3" xfId="0" applyNumberFormat="1" applyFont="1" applyBorder="1" applyAlignment="1">
      <alignment wrapText="1"/>
    </xf>
    <xf numFmtId="0" fontId="1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" fontId="6" fillId="17" borderId="1" xfId="2" applyNumberFormat="1" applyFont="1" applyBorder="1" applyAlignment="1">
      <alignment horizontal="center"/>
    </xf>
    <xf numFmtId="0" fontId="7" fillId="9" borderId="1" xfId="3" applyFont="1" applyFill="1" applyBorder="1"/>
    <xf numFmtId="0" fontId="1" fillId="9" borderId="1" xfId="4" applyFont="1" applyFill="1" applyBorder="1"/>
    <xf numFmtId="4" fontId="1" fillId="0" borderId="1" xfId="0" applyNumberFormat="1" applyFont="1" applyBorder="1"/>
    <xf numFmtId="0" fontId="1" fillId="0" borderId="0" xfId="0" applyFont="1"/>
    <xf numFmtId="4" fontId="1" fillId="0" borderId="0" xfId="0" applyNumberFormat="1" applyFont="1"/>
    <xf numFmtId="0" fontId="1" fillId="9" borderId="1" xfId="0" applyFont="1" applyFill="1" applyBorder="1"/>
    <xf numFmtId="0" fontId="1" fillId="9" borderId="0" xfId="0" applyFont="1" applyFill="1"/>
    <xf numFmtId="1" fontId="1" fillId="0" borderId="0" xfId="0" applyNumberFormat="1" applyFont="1"/>
    <xf numFmtId="0" fontId="10" fillId="0" borderId="0" xfId="5" applyFont="1" applyAlignment="1">
      <alignment wrapText="1"/>
    </xf>
    <xf numFmtId="4" fontId="10" fillId="0" borderId="0" xfId="5" applyNumberFormat="1" applyFont="1" applyAlignment="1">
      <alignment wrapText="1"/>
    </xf>
    <xf numFmtId="4" fontId="1" fillId="5" borderId="1" xfId="0" applyNumberFormat="1" applyFont="1" applyFill="1" applyBorder="1"/>
    <xf numFmtId="4" fontId="1" fillId="14" borderId="0" xfId="0" applyNumberFormat="1" applyFont="1" applyFill="1"/>
    <xf numFmtId="4" fontId="1" fillId="5" borderId="0" xfId="0" applyNumberFormat="1" applyFont="1" applyFill="1"/>
    <xf numFmtId="0" fontId="11" fillId="25" borderId="1" xfId="0" applyFont="1" applyFill="1" applyBorder="1" applyAlignment="1">
      <alignment vertical="center" wrapText="1"/>
    </xf>
    <xf numFmtId="4" fontId="8" fillId="0" borderId="1" xfId="0" applyNumberFormat="1" applyFont="1" applyBorder="1" applyAlignment="1">
      <alignment vertical="center" wrapText="1"/>
    </xf>
    <xf numFmtId="0" fontId="12" fillId="6" borderId="1" xfId="5" applyFont="1" applyFill="1" applyBorder="1" applyAlignment="1">
      <alignment wrapText="1"/>
    </xf>
    <xf numFmtId="4" fontId="12" fillId="5" borderId="1" xfId="5" applyNumberFormat="1" applyFont="1" applyFill="1" applyBorder="1" applyAlignment="1">
      <alignment horizontal="center" vertical="center" textRotation="90" wrapText="1"/>
    </xf>
    <xf numFmtId="0" fontId="12" fillId="5" borderId="1" xfId="5" applyFont="1" applyFill="1" applyBorder="1" applyAlignment="1">
      <alignment wrapText="1"/>
    </xf>
    <xf numFmtId="4" fontId="12" fillId="5" borderId="1" xfId="5" applyNumberFormat="1" applyFont="1" applyFill="1" applyBorder="1" applyAlignment="1">
      <alignment wrapText="1"/>
    </xf>
    <xf numFmtId="4" fontId="12" fillId="9" borderId="1" xfId="5" applyNumberFormat="1" applyFont="1" applyFill="1" applyBorder="1" applyAlignment="1">
      <alignment horizontal="center" vertical="center" textRotation="90" wrapText="1"/>
    </xf>
    <xf numFmtId="4" fontId="12" fillId="9" borderId="1" xfId="5" applyNumberFormat="1" applyFont="1" applyFill="1" applyBorder="1" applyAlignment="1">
      <alignment wrapText="1"/>
    </xf>
    <xf numFmtId="4" fontId="12" fillId="2" borderId="1" xfId="5" applyNumberFormat="1" applyFont="1" applyFill="1" applyBorder="1" applyAlignment="1">
      <alignment wrapText="1"/>
    </xf>
    <xf numFmtId="0" fontId="13" fillId="0" borderId="0" xfId="0" applyFont="1"/>
    <xf numFmtId="4" fontId="1" fillId="22" borderId="8" xfId="0" applyNumberFormat="1" applyFont="1" applyFill="1" applyBorder="1" applyAlignment="1">
      <alignment wrapText="1"/>
    </xf>
    <xf numFmtId="4" fontId="1" fillId="27" borderId="11" xfId="0" applyNumberFormat="1" applyFont="1" applyFill="1" applyBorder="1" applyAlignment="1">
      <alignment wrapText="1"/>
    </xf>
    <xf numFmtId="4" fontId="1" fillId="28" borderId="11" xfId="0" applyNumberFormat="1" applyFont="1" applyFill="1" applyBorder="1" applyAlignment="1">
      <alignment wrapText="1"/>
    </xf>
    <xf numFmtId="4" fontId="1" fillId="26" borderId="12" xfId="0" applyNumberFormat="1" applyFont="1" applyFill="1" applyBorder="1" applyAlignment="1">
      <alignment wrapText="1"/>
    </xf>
    <xf numFmtId="4" fontId="1" fillId="26" borderId="13" xfId="0" applyNumberFormat="1" applyFont="1" applyFill="1" applyBorder="1" applyAlignment="1">
      <alignment wrapText="1"/>
    </xf>
    <xf numFmtId="4" fontId="1" fillId="26" borderId="14" xfId="0" applyNumberFormat="1" applyFont="1" applyFill="1" applyBorder="1" applyAlignment="1">
      <alignment wrapText="1"/>
    </xf>
    <xf numFmtId="4" fontId="1" fillId="22" borderId="15" xfId="0" applyNumberFormat="1" applyFont="1" applyFill="1" applyBorder="1" applyAlignment="1">
      <alignment wrapText="1"/>
    </xf>
    <xf numFmtId="4" fontId="1" fillId="22" borderId="16" xfId="0" applyNumberFormat="1" applyFont="1" applyFill="1" applyBorder="1" applyAlignment="1">
      <alignment wrapText="1"/>
    </xf>
    <xf numFmtId="4" fontId="1" fillId="27" borderId="17" xfId="0" applyNumberFormat="1" applyFont="1" applyFill="1" applyBorder="1" applyAlignment="1">
      <alignment wrapText="1"/>
    </xf>
    <xf numFmtId="4" fontId="1" fillId="27" borderId="18" xfId="0" applyNumberFormat="1" applyFont="1" applyFill="1" applyBorder="1" applyAlignment="1">
      <alignment wrapText="1"/>
    </xf>
    <xf numFmtId="4" fontId="1" fillId="28" borderId="17" xfId="0" applyNumberFormat="1" applyFont="1" applyFill="1" applyBorder="1" applyAlignment="1">
      <alignment wrapText="1"/>
    </xf>
    <xf numFmtId="4" fontId="1" fillId="28" borderId="18" xfId="0" applyNumberFormat="1" applyFont="1" applyFill="1" applyBorder="1" applyAlignment="1">
      <alignment wrapText="1"/>
    </xf>
    <xf numFmtId="4" fontId="1" fillId="0" borderId="19" xfId="0" applyNumberFormat="1" applyFont="1" applyBorder="1" applyAlignment="1">
      <alignment wrapText="1"/>
    </xf>
    <xf numFmtId="4" fontId="1" fillId="0" borderId="20" xfId="0" applyNumberFormat="1" applyFont="1" applyBorder="1" applyAlignment="1">
      <alignment wrapText="1"/>
    </xf>
    <xf numFmtId="4" fontId="1" fillId="0" borderId="21" xfId="0" applyNumberFormat="1" applyFont="1" applyBorder="1" applyAlignment="1">
      <alignment wrapText="1"/>
    </xf>
    <xf numFmtId="4" fontId="14" fillId="15" borderId="1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6" fillId="16" borderId="1" xfId="1" applyNumberFormat="1" applyFont="1" applyBorder="1" applyAlignment="1">
      <alignment horizontal="center" vertical="center"/>
    </xf>
    <xf numFmtId="4" fontId="15" fillId="0" borderId="9" xfId="0" applyNumberFormat="1" applyFont="1" applyBorder="1" applyAlignment="1">
      <alignment horizontal="center" vertical="center"/>
    </xf>
    <xf numFmtId="4" fontId="11" fillId="25" borderId="1" xfId="0" applyNumberFormat="1" applyFont="1" applyFill="1" applyBorder="1" applyAlignment="1">
      <alignment vertical="center" wrapText="1"/>
    </xf>
    <xf numFmtId="4" fontId="1" fillId="0" borderId="0" xfId="0" applyNumberFormat="1" applyFont="1" applyAlignment="1">
      <alignment horizontal="center" wrapText="1"/>
    </xf>
    <xf numFmtId="4" fontId="14" fillId="0" borderId="1" xfId="0" applyNumberFormat="1" applyFont="1" applyBorder="1" applyAlignment="1">
      <alignment horizontal="center" vertical="center" wrapText="1"/>
    </xf>
    <xf numFmtId="4" fontId="14" fillId="12" borderId="1" xfId="0" applyNumberFormat="1" applyFont="1" applyFill="1" applyBorder="1" applyAlignment="1">
      <alignment horizontal="center" vertical="center" wrapText="1"/>
    </xf>
    <xf numFmtId="4" fontId="17" fillId="15" borderId="1" xfId="0" applyNumberFormat="1" applyFont="1" applyFill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1" fillId="0" borderId="1" xfId="0" applyFont="1" applyBorder="1"/>
    <xf numFmtId="4" fontId="1" fillId="23" borderId="1" xfId="0" applyNumberFormat="1" applyFont="1" applyFill="1" applyBorder="1"/>
    <xf numFmtId="0" fontId="21" fillId="9" borderId="1" xfId="7" applyFont="1" applyFill="1" applyBorder="1" applyAlignment="1">
      <alignment vertical="center"/>
    </xf>
    <xf numFmtId="0" fontId="13" fillId="9" borderId="1" xfId="0" applyFont="1" applyFill="1" applyBorder="1" applyAlignment="1">
      <alignment horizontal="center" vertical="center"/>
    </xf>
    <xf numFmtId="4" fontId="10" fillId="6" borderId="1" xfId="5" applyNumberFormat="1" applyFont="1" applyFill="1" applyBorder="1" applyAlignment="1">
      <alignment horizontal="center" vertical="center" textRotation="90" wrapText="1"/>
    </xf>
    <xf numFmtId="4" fontId="10" fillId="6" borderId="1" xfId="5" applyNumberFormat="1" applyFont="1" applyFill="1" applyBorder="1" applyAlignment="1">
      <alignment wrapText="1"/>
    </xf>
    <xf numFmtId="4" fontId="23" fillId="0" borderId="0" xfId="0" applyNumberFormat="1" applyFont="1" applyAlignment="1">
      <alignment wrapText="1"/>
    </xf>
    <xf numFmtId="4" fontId="23" fillId="26" borderId="1" xfId="0" applyNumberFormat="1" applyFont="1" applyFill="1" applyBorder="1" applyAlignment="1">
      <alignment horizontal="center" vertical="center" wrapText="1"/>
    </xf>
    <xf numFmtId="4" fontId="23" fillId="0" borderId="0" xfId="0" applyNumberFormat="1" applyFont="1" applyAlignment="1">
      <alignment horizontal="center" vertical="center" wrapText="1"/>
    </xf>
    <xf numFmtId="4" fontId="23" fillId="8" borderId="1" xfId="0" applyNumberFormat="1" applyFont="1" applyFill="1" applyBorder="1" applyAlignment="1">
      <alignment horizontal="center" textRotation="90" wrapText="1"/>
    </xf>
    <xf numFmtId="4" fontId="24" fillId="20" borderId="1" xfId="0" applyNumberFormat="1" applyFont="1" applyFill="1" applyBorder="1" applyAlignment="1">
      <alignment horizontal="center" textRotation="90" wrapText="1"/>
    </xf>
    <xf numFmtId="4" fontId="23" fillId="20" borderId="1" xfId="0" applyNumberFormat="1" applyFont="1" applyFill="1" applyBorder="1" applyAlignment="1">
      <alignment horizontal="center" textRotation="90" wrapText="1"/>
    </xf>
    <xf numFmtId="4" fontId="25" fillId="20" borderId="1" xfId="0" applyNumberFormat="1" applyFont="1" applyFill="1" applyBorder="1" applyAlignment="1">
      <alignment horizontal="center" textRotation="90" wrapText="1"/>
    </xf>
    <xf numFmtId="4" fontId="23" fillId="0" borderId="1" xfId="0" applyNumberFormat="1" applyFont="1" applyBorder="1" applyAlignment="1">
      <alignment horizontal="center" textRotation="90" wrapText="1"/>
    </xf>
    <xf numFmtId="4" fontId="24" fillId="9" borderId="1" xfId="0" applyNumberFormat="1" applyFont="1" applyFill="1" applyBorder="1" applyAlignment="1">
      <alignment horizontal="center" textRotation="90" wrapText="1"/>
    </xf>
    <xf numFmtId="4" fontId="23" fillId="9" borderId="1" xfId="0" applyNumberFormat="1" applyFont="1" applyFill="1" applyBorder="1" applyAlignment="1">
      <alignment horizontal="center" textRotation="90" wrapText="1"/>
    </xf>
    <xf numFmtId="4" fontId="23" fillId="21" borderId="1" xfId="0" applyNumberFormat="1" applyFont="1" applyFill="1" applyBorder="1" applyAlignment="1">
      <alignment horizontal="center" textRotation="90" wrapText="1"/>
    </xf>
    <xf numFmtId="4" fontId="23" fillId="22" borderId="1" xfId="0" applyNumberFormat="1" applyFont="1" applyFill="1" applyBorder="1" applyAlignment="1">
      <alignment horizontal="center" textRotation="90" wrapText="1"/>
    </xf>
    <xf numFmtId="4" fontId="23" fillId="0" borderId="0" xfId="0" applyNumberFormat="1" applyFont="1" applyAlignment="1">
      <alignment textRotation="90" wrapText="1"/>
    </xf>
    <xf numFmtId="4" fontId="23" fillId="8" borderId="1" xfId="0" applyNumberFormat="1" applyFont="1" applyFill="1" applyBorder="1" applyAlignment="1">
      <alignment wrapText="1"/>
    </xf>
    <xf numFmtId="4" fontId="23" fillId="23" borderId="1" xfId="0" applyNumberFormat="1" applyFont="1" applyFill="1" applyBorder="1" applyAlignment="1">
      <alignment wrapText="1"/>
    </xf>
    <xf numFmtId="4" fontId="23" fillId="20" borderId="1" xfId="0" applyNumberFormat="1" applyFont="1" applyFill="1" applyBorder="1" applyAlignment="1">
      <alignment wrapText="1"/>
    </xf>
    <xf numFmtId="4" fontId="23" fillId="0" borderId="1" xfId="0" applyNumberFormat="1" applyFont="1" applyBorder="1" applyAlignment="1">
      <alignment wrapText="1"/>
    </xf>
    <xf numFmtId="4" fontId="25" fillId="9" borderId="1" xfId="0" applyNumberFormat="1" applyFont="1" applyFill="1" applyBorder="1" applyAlignment="1">
      <alignment wrapText="1"/>
    </xf>
    <xf numFmtId="4" fontId="23" fillId="9" borderId="1" xfId="0" applyNumberFormat="1" applyFont="1" applyFill="1" applyBorder="1" applyAlignment="1">
      <alignment wrapText="1"/>
    </xf>
    <xf numFmtId="4" fontId="23" fillId="21" borderId="1" xfId="0" applyNumberFormat="1" applyFont="1" applyFill="1" applyBorder="1" applyAlignment="1">
      <alignment wrapText="1"/>
    </xf>
    <xf numFmtId="4" fontId="23" fillId="22" borderId="1" xfId="0" applyNumberFormat="1" applyFont="1" applyFill="1" applyBorder="1" applyAlignment="1">
      <alignment wrapText="1"/>
    </xf>
    <xf numFmtId="4" fontId="23" fillId="22" borderId="1" xfId="0" applyNumberFormat="1" applyFont="1" applyFill="1" applyBorder="1" applyAlignment="1">
      <alignment horizontal="center" vertical="center" wrapText="1"/>
    </xf>
    <xf numFmtId="4" fontId="23" fillId="26" borderId="1" xfId="0" applyNumberFormat="1" applyFont="1" applyFill="1" applyBorder="1" applyAlignment="1">
      <alignment wrapText="1"/>
    </xf>
    <xf numFmtId="4" fontId="25" fillId="9" borderId="1" xfId="0" applyNumberFormat="1" applyFont="1" applyFill="1" applyBorder="1"/>
    <xf numFmtId="4" fontId="24" fillId="24" borderId="1" xfId="0" applyNumberFormat="1" applyFont="1" applyFill="1" applyBorder="1" applyAlignment="1">
      <alignment wrapText="1"/>
    </xf>
    <xf numFmtId="4" fontId="23" fillId="24" borderId="1" xfId="0" applyNumberFormat="1" applyFont="1" applyFill="1" applyBorder="1" applyAlignment="1">
      <alignment wrapText="1"/>
    </xf>
    <xf numFmtId="4" fontId="23" fillId="24" borderId="0" xfId="0" applyNumberFormat="1" applyFont="1" applyFill="1" applyAlignment="1">
      <alignment wrapText="1"/>
    </xf>
    <xf numFmtId="4" fontId="25" fillId="26" borderId="1" xfId="0" applyNumberFormat="1" applyFont="1" applyFill="1" applyBorder="1" applyAlignment="1">
      <alignment wrapText="1"/>
    </xf>
    <xf numFmtId="4" fontId="25" fillId="26" borderId="1" xfId="0" applyNumberFormat="1" applyFont="1" applyFill="1" applyBorder="1"/>
    <xf numFmtId="4" fontId="23" fillId="6" borderId="1" xfId="0" applyNumberFormat="1" applyFont="1" applyFill="1" applyBorder="1" applyAlignment="1">
      <alignment horizontal="center" vertical="center" wrapText="1"/>
    </xf>
    <xf numFmtId="4" fontId="23" fillId="6" borderId="1" xfId="0" applyNumberFormat="1" applyFont="1" applyFill="1" applyBorder="1" applyAlignment="1">
      <alignment horizontal="center" textRotation="90" wrapText="1"/>
    </xf>
    <xf numFmtId="4" fontId="23" fillId="6" borderId="1" xfId="0" applyNumberFormat="1" applyFont="1" applyFill="1" applyBorder="1" applyAlignment="1">
      <alignment wrapText="1"/>
    </xf>
    <xf numFmtId="4" fontId="3" fillId="16" borderId="1" xfId="1" applyNumberFormat="1" applyBorder="1"/>
    <xf numFmtId="4" fontId="1" fillId="0" borderId="1" xfId="0" applyNumberFormat="1" applyFont="1" applyBorder="1" applyAlignment="1">
      <alignment horizontal="right" vertical="center"/>
    </xf>
    <xf numFmtId="0" fontId="1" fillId="9" borderId="1" xfId="0" applyFont="1" applyFill="1" applyBorder="1" applyAlignment="1">
      <alignment vertical="center" wrapText="1"/>
    </xf>
    <xf numFmtId="4" fontId="15" fillId="0" borderId="1" xfId="0" applyNumberFormat="1" applyFont="1" applyBorder="1"/>
    <xf numFmtId="0" fontId="21" fillId="9" borderId="1" xfId="7" applyFont="1" applyFill="1" applyBorder="1" applyAlignment="1">
      <alignment vertical="center" wrapText="1"/>
    </xf>
    <xf numFmtId="4" fontId="4" fillId="17" borderId="1" xfId="2" applyNumberFormat="1" applyBorder="1" applyAlignment="1">
      <alignment vertical="center" wrapText="1"/>
    </xf>
    <xf numFmtId="4" fontId="23" fillId="21" borderId="4" xfId="0" applyNumberFormat="1" applyFont="1" applyFill="1" applyBorder="1" applyAlignment="1">
      <alignment horizontal="center" vertical="center" wrapText="1"/>
    </xf>
    <xf numFmtId="2" fontId="1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9" fillId="0" borderId="0" xfId="0" applyFont="1" applyAlignment="1">
      <alignment horizontal="right" vertical="center" wrapText="1"/>
    </xf>
    <xf numFmtId="4" fontId="3" fillId="16" borderId="1" xfId="1" applyNumberFormat="1" applyBorder="1" applyAlignment="1">
      <alignment horizontal="center" vertical="center"/>
    </xf>
    <xf numFmtId="4" fontId="27" fillId="17" borderId="0" xfId="2" applyNumberFormat="1" applyFont="1" applyAlignment="1">
      <alignment horizontal="center" wrapText="1"/>
    </xf>
    <xf numFmtId="4" fontId="1" fillId="8" borderId="1" xfId="0" quotePrefix="1" applyNumberFormat="1" applyFont="1" applyFill="1" applyBorder="1" applyAlignment="1">
      <alignment horizontal="right" wrapText="1"/>
    </xf>
    <xf numFmtId="4" fontId="15" fillId="12" borderId="1" xfId="0" applyNumberFormat="1" applyFont="1" applyFill="1" applyBorder="1" applyAlignment="1">
      <alignment horizontal="center" vertical="center"/>
    </xf>
    <xf numFmtId="4" fontId="1" fillId="26" borderId="17" xfId="0" applyNumberFormat="1" applyFont="1" applyFill="1" applyBorder="1" applyAlignment="1">
      <alignment wrapText="1"/>
    </xf>
    <xf numFmtId="4" fontId="1" fillId="26" borderId="11" xfId="0" applyNumberFormat="1" applyFont="1" applyFill="1" applyBorder="1" applyAlignment="1">
      <alignment wrapText="1"/>
    </xf>
    <xf numFmtId="4" fontId="1" fillId="26" borderId="18" xfId="0" applyNumberFormat="1" applyFont="1" applyFill="1" applyBorder="1" applyAlignment="1">
      <alignment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8" fillId="13" borderId="1" xfId="0" applyNumberFormat="1" applyFont="1" applyFill="1" applyBorder="1" applyAlignment="1">
      <alignment horizontal="center" vertical="center"/>
    </xf>
    <xf numFmtId="4" fontId="15" fillId="14" borderId="1" xfId="0" applyNumberFormat="1" applyFont="1" applyFill="1" applyBorder="1" applyAlignment="1">
      <alignment horizontal="center" vertical="center"/>
    </xf>
    <xf numFmtId="4" fontId="13" fillId="13" borderId="1" xfId="0" applyNumberFormat="1" applyFont="1" applyFill="1" applyBorder="1" applyAlignment="1">
      <alignment horizontal="center" vertical="center"/>
    </xf>
    <xf numFmtId="4" fontId="18" fillId="13" borderId="2" xfId="0" applyNumberFormat="1" applyFont="1" applyFill="1" applyBorder="1" applyAlignment="1">
      <alignment horizontal="center" vertical="center"/>
    </xf>
    <xf numFmtId="4" fontId="18" fillId="13" borderId="10" xfId="0" applyNumberFormat="1" applyFont="1" applyFill="1" applyBorder="1" applyAlignment="1">
      <alignment horizontal="center" vertical="center"/>
    </xf>
    <xf numFmtId="4" fontId="18" fillId="13" borderId="9" xfId="0" applyNumberFormat="1" applyFont="1" applyFill="1" applyBorder="1" applyAlignment="1">
      <alignment horizontal="center" vertical="center"/>
    </xf>
    <xf numFmtId="4" fontId="13" fillId="13" borderId="4" xfId="0" applyNumberFormat="1" applyFont="1" applyFill="1" applyBorder="1" applyAlignment="1">
      <alignment horizontal="center" vertical="center"/>
    </xf>
    <xf numFmtId="4" fontId="13" fillId="13" borderId="7" xfId="0" applyNumberFormat="1" applyFont="1" applyFill="1" applyBorder="1" applyAlignment="1">
      <alignment horizontal="center" vertical="center"/>
    </xf>
    <xf numFmtId="4" fontId="23" fillId="22" borderId="4" xfId="0" applyNumberFormat="1" applyFont="1" applyFill="1" applyBorder="1" applyAlignment="1">
      <alignment horizontal="center" vertical="center" wrapText="1"/>
    </xf>
    <xf numFmtId="4" fontId="23" fillId="22" borderId="8" xfId="0" applyNumberFormat="1" applyFont="1" applyFill="1" applyBorder="1" applyAlignment="1">
      <alignment horizontal="center" vertical="center" wrapText="1"/>
    </xf>
    <xf numFmtId="4" fontId="23" fillId="22" borderId="7" xfId="0" applyNumberFormat="1" applyFont="1" applyFill="1" applyBorder="1" applyAlignment="1">
      <alignment horizontal="center" vertical="center" wrapText="1"/>
    </xf>
    <xf numFmtId="4" fontId="23" fillId="8" borderId="1" xfId="0" applyNumberFormat="1" applyFont="1" applyFill="1" applyBorder="1" applyAlignment="1">
      <alignment horizontal="center" vertical="center" wrapText="1"/>
    </xf>
    <xf numFmtId="4" fontId="23" fillId="20" borderId="1" xfId="0" applyNumberFormat="1" applyFont="1" applyFill="1" applyBorder="1" applyAlignment="1">
      <alignment horizontal="center" vertical="center" wrapText="1"/>
    </xf>
    <xf numFmtId="4" fontId="23" fillId="0" borderId="1" xfId="0" applyNumberFormat="1" applyFont="1" applyBorder="1" applyAlignment="1">
      <alignment horizontal="center" vertical="center" wrapText="1"/>
    </xf>
    <xf numFmtId="4" fontId="23" fillId="9" borderId="1" xfId="0" applyNumberFormat="1" applyFont="1" applyFill="1" applyBorder="1" applyAlignment="1">
      <alignment horizontal="center" vertical="center" wrapText="1"/>
    </xf>
    <xf numFmtId="4" fontId="23" fillId="21" borderId="1" xfId="0" applyNumberFormat="1" applyFont="1" applyFill="1" applyBorder="1" applyAlignment="1">
      <alignment horizontal="center" vertical="center" wrapText="1"/>
    </xf>
    <xf numFmtId="4" fontId="23" fillId="8" borderId="4" xfId="0" applyNumberFormat="1" applyFont="1" applyFill="1" applyBorder="1" applyAlignment="1">
      <alignment horizontal="center" vertical="center" wrapText="1"/>
    </xf>
    <xf numFmtId="4" fontId="23" fillId="8" borderId="8" xfId="0" applyNumberFormat="1" applyFont="1" applyFill="1" applyBorder="1" applyAlignment="1">
      <alignment horizontal="center" vertical="center" wrapText="1"/>
    </xf>
    <xf numFmtId="4" fontId="23" fillId="8" borderId="7" xfId="0" applyNumberFormat="1" applyFont="1" applyFill="1" applyBorder="1" applyAlignment="1">
      <alignment horizontal="center" vertical="center" wrapText="1"/>
    </xf>
    <xf numFmtId="0" fontId="12" fillId="6" borderId="1" xfId="5" applyFont="1" applyFill="1" applyBorder="1" applyAlignment="1">
      <alignment wrapText="1"/>
    </xf>
    <xf numFmtId="0" fontId="12" fillId="5" borderId="1" xfId="5" applyFont="1" applyFill="1" applyBorder="1" applyAlignment="1">
      <alignment wrapText="1"/>
    </xf>
    <xf numFmtId="0" fontId="12" fillId="6" borderId="1" xfId="5" applyFont="1" applyFill="1" applyBorder="1" applyAlignment="1">
      <alignment horizontal="center" vertical="center" wrapText="1"/>
    </xf>
    <xf numFmtId="4" fontId="10" fillId="6" borderId="1" xfId="5" applyNumberFormat="1" applyFont="1" applyFill="1" applyBorder="1" applyAlignment="1">
      <alignment horizontal="center" vertical="center" wrapText="1"/>
    </xf>
    <xf numFmtId="0" fontId="12" fillId="5" borderId="1" xfId="5" applyFont="1" applyFill="1" applyBorder="1" applyAlignment="1">
      <alignment horizontal="center" vertical="center" wrapText="1"/>
    </xf>
    <xf numFmtId="4" fontId="10" fillId="6" borderId="1" xfId="5" applyNumberFormat="1" applyFont="1" applyFill="1" applyBorder="1" applyAlignment="1">
      <alignment horizontal="center" vertical="center" textRotation="90" wrapText="1"/>
    </xf>
    <xf numFmtId="4" fontId="12" fillId="5" borderId="1" xfId="5" applyNumberFormat="1" applyFont="1" applyFill="1" applyBorder="1" applyAlignment="1">
      <alignment horizontal="center" vertical="center" wrapText="1"/>
    </xf>
    <xf numFmtId="4" fontId="12" fillId="5" borderId="1" xfId="5" applyNumberFormat="1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4" fontId="15" fillId="30" borderId="1" xfId="0" applyNumberFormat="1" applyFont="1" applyFill="1" applyBorder="1" applyAlignment="1">
      <alignment horizontal="center" vertical="center"/>
    </xf>
    <xf numFmtId="4" fontId="1" fillId="30" borderId="1" xfId="0" applyNumberFormat="1" applyFont="1" applyFill="1" applyBorder="1"/>
    <xf numFmtId="4" fontId="8" fillId="30" borderId="1" xfId="0" applyNumberFormat="1" applyFont="1" applyFill="1" applyBorder="1" applyAlignment="1">
      <alignment vertical="center" wrapText="1"/>
    </xf>
    <xf numFmtId="4" fontId="1" fillId="31" borderId="1" xfId="0" applyNumberFormat="1" applyFont="1" applyFill="1" applyBorder="1"/>
  </cellXfs>
  <cellStyles count="8">
    <cellStyle name="Comma 2" xfId="6" xr:uid="{B727AA26-4CA5-4315-82FD-F681914795C7}"/>
    <cellStyle name="Normal 2" xfId="5" xr:uid="{51046609-6F04-40C6-8F64-472540AAFBFF}"/>
    <cellStyle name="ดี" xfId="1" builtinId="26"/>
    <cellStyle name="ปกติ" xfId="0" builtinId="0"/>
    <cellStyle name="ป้อนค่า" xfId="3" builtinId="20"/>
    <cellStyle name="ปานกลาง" xfId="7" builtinId="28"/>
    <cellStyle name="แย่" xfId="2" builtinId="27"/>
    <cellStyle name="หมายเหตุ" xfId="4" builtinId="10"/>
  </cellStyles>
  <dxfs count="0"/>
  <tableStyles count="0" defaultTableStyle="TableStyleMedium2" defaultPivotStyle="PivotStyleLight16"/>
  <colors>
    <mruColors>
      <color rgb="FFFF99FF"/>
      <color rgb="FFFFFF99"/>
      <color rgb="FFFFCCCC"/>
      <color rgb="FFFFFFFF"/>
      <color rgb="FFCCFFCC"/>
      <color rgb="FFCCECFF"/>
      <color rgb="FFFFCCFF"/>
      <color rgb="FF00FF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0</xdr:row>
      <xdr:rowOff>190500</xdr:rowOff>
    </xdr:from>
    <xdr:to>
      <xdr:col>11</xdr:col>
      <xdr:colOff>133350</xdr:colOff>
      <xdr:row>18</xdr:row>
      <xdr:rowOff>13174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F6C6F-E84A-8927-1648-D925427A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675" y="190500"/>
          <a:ext cx="5876925" cy="3746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ADF5-8F03-4E65-87B9-61EFC00E9E8F}">
  <dimension ref="A1:K598"/>
  <sheetViews>
    <sheetView zoomScale="93" zoomScaleNormal="93" workbookViewId="0">
      <selection activeCell="H35" sqref="H35"/>
    </sheetView>
  </sheetViews>
  <sheetFormatPr defaultColWidth="9" defaultRowHeight="18.75" x14ac:dyDescent="0.3"/>
  <cols>
    <col min="1" max="1" width="61.42578125" style="2" customWidth="1"/>
    <col min="2" max="2" width="12.5703125" style="2" bestFit="1" customWidth="1"/>
    <col min="3" max="3" width="16.140625" style="2" bestFit="1" customWidth="1"/>
    <col min="4" max="5" width="14.7109375" style="2" bestFit="1" customWidth="1"/>
    <col min="6" max="6" width="1.42578125" style="1" customWidth="1"/>
    <col min="7" max="7" width="9" style="2"/>
    <col min="8" max="8" width="16.5703125" style="13" customWidth="1"/>
    <col min="9" max="9" width="14.7109375" style="13" customWidth="1"/>
    <col min="10" max="10" width="12.5703125" style="13" bestFit="1" customWidth="1"/>
    <col min="11" max="11" width="11.42578125" style="2" bestFit="1" customWidth="1"/>
    <col min="12" max="12" width="12.5703125" style="2" bestFit="1" customWidth="1"/>
    <col min="13" max="13" width="11.42578125" style="2" bestFit="1" customWidth="1"/>
    <col min="14" max="15" width="12.5703125" style="2" bestFit="1" customWidth="1"/>
    <col min="16" max="16" width="12.28515625" style="2" bestFit="1" customWidth="1"/>
    <col min="17" max="16384" width="9" style="2"/>
  </cols>
  <sheetData>
    <row r="1" spans="1:5" x14ac:dyDescent="0.3">
      <c r="A1" s="141" t="s">
        <v>0</v>
      </c>
      <c r="B1" s="141" t="s">
        <v>1</v>
      </c>
      <c r="C1" s="142" t="s">
        <v>2</v>
      </c>
      <c r="D1" s="142" t="s">
        <v>3</v>
      </c>
      <c r="E1" s="141" t="s">
        <v>4</v>
      </c>
    </row>
    <row r="2" spans="1:5" x14ac:dyDescent="0.3">
      <c r="A2" s="141"/>
      <c r="B2" s="141"/>
      <c r="C2" s="142"/>
      <c r="D2" s="142"/>
      <c r="E2" s="141"/>
    </row>
    <row r="3" spans="1:5" x14ac:dyDescent="0.3">
      <c r="A3" s="10" t="s">
        <v>5</v>
      </c>
      <c r="B3" s="3" t="s">
        <v>6</v>
      </c>
      <c r="C3" s="3" t="s">
        <v>6</v>
      </c>
      <c r="D3" s="3" t="s">
        <v>6</v>
      </c>
      <c r="E3" s="3" t="s">
        <v>6</v>
      </c>
    </row>
    <row r="4" spans="1:5" x14ac:dyDescent="0.3">
      <c r="A4" s="10" t="s">
        <v>7</v>
      </c>
      <c r="B4" s="3" t="s">
        <v>6</v>
      </c>
      <c r="C4" s="3">
        <f>'รับ-จ่าย'!AP3</f>
        <v>0</v>
      </c>
      <c r="D4" s="3" t="s">
        <v>6</v>
      </c>
      <c r="E4" s="3">
        <f>SUM(B4:D4)</f>
        <v>0</v>
      </c>
    </row>
    <row r="5" spans="1:5" x14ac:dyDescent="0.3">
      <c r="A5" s="10" t="s">
        <v>8</v>
      </c>
      <c r="B5" s="3" t="s">
        <v>6</v>
      </c>
      <c r="C5" s="3" t="s">
        <v>6</v>
      </c>
      <c r="D5" s="3" t="s">
        <v>6</v>
      </c>
      <c r="E5" s="3" t="s">
        <v>6</v>
      </c>
    </row>
    <row r="6" spans="1:5" x14ac:dyDescent="0.3">
      <c r="A6" s="4" t="s">
        <v>292</v>
      </c>
      <c r="B6" s="5" t="s">
        <v>6</v>
      </c>
      <c r="C6" s="5">
        <f>'รับ-จ่าย'!C3</f>
        <v>5221.2700000000041</v>
      </c>
      <c r="D6" s="5" t="s">
        <v>6</v>
      </c>
      <c r="E6" s="5">
        <f>SUM(B6:D6)</f>
        <v>5221.2700000000041</v>
      </c>
    </row>
    <row r="7" spans="1:5" x14ac:dyDescent="0.3">
      <c r="A7" s="4" t="s">
        <v>293</v>
      </c>
      <c r="B7" s="5" t="s">
        <v>6</v>
      </c>
      <c r="C7" s="136">
        <f>'รับ-จ่าย'!AV3</f>
        <v>74414.81</v>
      </c>
      <c r="D7" s="5" t="s">
        <v>6</v>
      </c>
      <c r="E7" s="5">
        <f>SUM(B7:D7)</f>
        <v>74414.81</v>
      </c>
    </row>
    <row r="8" spans="1:5" x14ac:dyDescent="0.3">
      <c r="A8" s="4" t="s">
        <v>9</v>
      </c>
      <c r="B8" s="5" t="s">
        <v>6</v>
      </c>
      <c r="C8" s="5">
        <f>'รับ-จ่าย'!F3</f>
        <v>1093.2</v>
      </c>
      <c r="D8" s="5" t="s">
        <v>6</v>
      </c>
      <c r="E8" s="5">
        <f>SUM(C8:D8)</f>
        <v>1093.2</v>
      </c>
    </row>
    <row r="9" spans="1:5" x14ac:dyDescent="0.3">
      <c r="A9" s="18" t="s">
        <v>10</v>
      </c>
      <c r="B9" s="6" t="s">
        <v>6</v>
      </c>
      <c r="C9" s="6">
        <f>'รับ-จ่าย'!I3</f>
        <v>116168.12</v>
      </c>
      <c r="D9" s="6" t="s">
        <v>6</v>
      </c>
      <c r="E9" s="6">
        <f>SUM(B9:D9)</f>
        <v>116168.12</v>
      </c>
    </row>
    <row r="10" spans="1:5" x14ac:dyDescent="0.3">
      <c r="A10" s="7" t="s">
        <v>11</v>
      </c>
      <c r="B10" s="8" t="s">
        <v>6</v>
      </c>
      <c r="C10" s="8">
        <f>'รับ-จ่าย'!L3</f>
        <v>96558</v>
      </c>
      <c r="D10" s="8" t="s">
        <v>6</v>
      </c>
      <c r="E10" s="8">
        <f t="shared" ref="E10:E14" si="0">SUM(B10:D10)</f>
        <v>96558</v>
      </c>
    </row>
    <row r="11" spans="1:5" x14ac:dyDescent="0.3">
      <c r="A11" s="7" t="s">
        <v>12</v>
      </c>
      <c r="B11" s="8" t="s">
        <v>6</v>
      </c>
      <c r="C11" s="8">
        <f>'รับ-จ่าย'!O3</f>
        <v>31410</v>
      </c>
      <c r="D11" s="8" t="s">
        <v>6</v>
      </c>
      <c r="E11" s="8">
        <f t="shared" si="0"/>
        <v>31410</v>
      </c>
    </row>
    <row r="12" spans="1:5" x14ac:dyDescent="0.3">
      <c r="A12" s="7" t="s">
        <v>13</v>
      </c>
      <c r="B12" s="8" t="s">
        <v>6</v>
      </c>
      <c r="C12" s="8">
        <f>'รับ-จ่าย'!R3</f>
        <v>58950</v>
      </c>
      <c r="D12" s="8" t="s">
        <v>6</v>
      </c>
      <c r="E12" s="8">
        <f t="shared" si="0"/>
        <v>58950</v>
      </c>
    </row>
    <row r="13" spans="1:5" x14ac:dyDescent="0.3">
      <c r="A13" s="7" t="s">
        <v>14</v>
      </c>
      <c r="B13" s="8" t="s">
        <v>6</v>
      </c>
      <c r="C13" s="8">
        <f>'รับ-จ่าย'!U3</f>
        <v>47375</v>
      </c>
      <c r="D13" s="8" t="s">
        <v>6</v>
      </c>
      <c r="E13" s="8">
        <f t="shared" si="0"/>
        <v>47375</v>
      </c>
    </row>
    <row r="14" spans="1:5" x14ac:dyDescent="0.3">
      <c r="A14" s="7" t="s">
        <v>15</v>
      </c>
      <c r="B14" s="8" t="s">
        <v>6</v>
      </c>
      <c r="C14" s="8">
        <f>'รับ-จ่าย'!X3</f>
        <v>0</v>
      </c>
      <c r="D14" s="8" t="s">
        <v>6</v>
      </c>
      <c r="E14" s="8">
        <f t="shared" si="0"/>
        <v>0</v>
      </c>
    </row>
    <row r="15" spans="1:5" x14ac:dyDescent="0.3">
      <c r="A15" s="19" t="s">
        <v>16</v>
      </c>
      <c r="B15" s="9" t="s">
        <v>6</v>
      </c>
      <c r="C15" s="9">
        <f>'รับ-จ่าย'!AA3</f>
        <v>0</v>
      </c>
      <c r="D15" s="9" t="s">
        <v>6</v>
      </c>
      <c r="E15" s="9">
        <f t="shared" ref="E15:E18" si="1">SUM(B15:D15)</f>
        <v>0</v>
      </c>
    </row>
    <row r="16" spans="1:5" x14ac:dyDescent="0.3">
      <c r="A16" s="7" t="s">
        <v>17</v>
      </c>
      <c r="B16" s="8" t="s">
        <v>6</v>
      </c>
      <c r="C16" s="8">
        <f>'รับ-จ่าย'!AD3</f>
        <v>99.870000000002619</v>
      </c>
      <c r="D16" s="8" t="s">
        <v>6</v>
      </c>
      <c r="E16" s="8">
        <f t="shared" si="1"/>
        <v>99.870000000002619</v>
      </c>
    </row>
    <row r="17" spans="1:11" x14ac:dyDescent="0.3">
      <c r="A17" s="7" t="s">
        <v>18</v>
      </c>
      <c r="B17" s="8" t="s">
        <v>6</v>
      </c>
      <c r="C17" s="8">
        <v>0</v>
      </c>
      <c r="D17" s="8">
        <f>'รับ-จ่าย'!AG3</f>
        <v>13120</v>
      </c>
      <c r="E17" s="8">
        <f t="shared" si="1"/>
        <v>13120</v>
      </c>
    </row>
    <row r="18" spans="1:11" x14ac:dyDescent="0.3">
      <c r="A18" s="11" t="s">
        <v>19</v>
      </c>
      <c r="B18" s="12">
        <f>'รับ-จ่าย'!AJ3</f>
        <v>0</v>
      </c>
      <c r="C18" s="12">
        <v>0</v>
      </c>
      <c r="D18" s="12" t="s">
        <v>6</v>
      </c>
      <c r="E18" s="12">
        <f t="shared" si="1"/>
        <v>0</v>
      </c>
      <c r="H18"/>
      <c r="I18"/>
      <c r="J18"/>
      <c r="K18"/>
    </row>
    <row r="19" spans="1:11" x14ac:dyDescent="0.3">
      <c r="A19" s="7"/>
      <c r="B19" s="8"/>
      <c r="C19" s="8"/>
      <c r="D19" s="8"/>
      <c r="E19" s="8"/>
      <c r="H19"/>
      <c r="I19"/>
      <c r="J19"/>
      <c r="K19"/>
    </row>
    <row r="20" spans="1:11" x14ac:dyDescent="0.3">
      <c r="A20" s="7"/>
      <c r="B20" s="8"/>
      <c r="C20" s="8"/>
      <c r="D20" s="8"/>
      <c r="E20" s="8"/>
      <c r="H20"/>
      <c r="I20"/>
      <c r="J20"/>
      <c r="K20"/>
    </row>
    <row r="21" spans="1:11" x14ac:dyDescent="0.3">
      <c r="A21" s="8" t="s">
        <v>4</v>
      </c>
      <c r="B21" s="8">
        <f>SUM(B3:B19)</f>
        <v>0</v>
      </c>
      <c r="C21" s="8">
        <f>SUM(C3:C20)</f>
        <v>431290.27</v>
      </c>
      <c r="D21" s="8">
        <f>SUM(D3:D17)</f>
        <v>13120</v>
      </c>
      <c r="E21" s="8">
        <f>SUM(B21:D21)</f>
        <v>444410.27</v>
      </c>
      <c r="H21"/>
      <c r="I21"/>
      <c r="J21"/>
      <c r="K21"/>
    </row>
    <row r="22" spans="1:11" x14ac:dyDescent="0.3">
      <c r="A22" s="13"/>
      <c r="B22" s="13"/>
      <c r="C22" s="13"/>
      <c r="D22" s="13"/>
      <c r="E22" s="13"/>
      <c r="H22"/>
      <c r="I22"/>
      <c r="J22"/>
      <c r="K22"/>
    </row>
    <row r="23" spans="1:11" x14ac:dyDescent="0.3">
      <c r="A23" s="14" t="s">
        <v>20</v>
      </c>
      <c r="B23" s="21"/>
      <c r="C23" s="21">
        <f>E4</f>
        <v>0</v>
      </c>
      <c r="H23"/>
      <c r="I23"/>
      <c r="J23"/>
      <c r="K23"/>
    </row>
    <row r="24" spans="1:11" x14ac:dyDescent="0.3">
      <c r="A24" s="15" t="s">
        <v>21</v>
      </c>
      <c r="B24" s="22"/>
      <c r="C24" s="22">
        <f>E6+E8</f>
        <v>6314.4700000000039</v>
      </c>
      <c r="D24" s="8" t="s">
        <v>246</v>
      </c>
      <c r="H24"/>
      <c r="I24"/>
      <c r="J24"/>
      <c r="K24"/>
    </row>
    <row r="25" spans="1:11" x14ac:dyDescent="0.3">
      <c r="A25" s="15" t="s">
        <v>295</v>
      </c>
      <c r="B25" s="22"/>
      <c r="C25" s="22">
        <f>E7</f>
        <v>74414.81</v>
      </c>
      <c r="D25" s="8"/>
      <c r="H25"/>
      <c r="I25"/>
      <c r="J25"/>
      <c r="K25"/>
    </row>
    <row r="26" spans="1:11" x14ac:dyDescent="0.3">
      <c r="A26" s="20" t="s">
        <v>22</v>
      </c>
      <c r="B26" s="23"/>
      <c r="C26" s="23">
        <f>SUM(E9:E14,E19:E20)</f>
        <v>350461.12</v>
      </c>
      <c r="D26" s="23"/>
      <c r="H26"/>
      <c r="I26"/>
      <c r="J26"/>
      <c r="K26"/>
    </row>
    <row r="27" spans="1:11" x14ac:dyDescent="0.3">
      <c r="A27" s="16" t="s">
        <v>23</v>
      </c>
      <c r="B27" s="24"/>
      <c r="C27" s="24">
        <f>E15</f>
        <v>0</v>
      </c>
      <c r="D27" s="24"/>
      <c r="H27"/>
      <c r="I27"/>
      <c r="J27"/>
      <c r="K27"/>
    </row>
    <row r="28" spans="1:11" x14ac:dyDescent="0.3">
      <c r="A28" s="17" t="s">
        <v>24</v>
      </c>
      <c r="B28" s="19"/>
      <c r="C28" s="25">
        <f>E16</f>
        <v>99.870000000002619</v>
      </c>
      <c r="H28"/>
      <c r="I28"/>
      <c r="J28"/>
      <c r="K28"/>
    </row>
    <row r="29" spans="1:11" ht="19.5" thickBot="1" x14ac:dyDescent="0.35">
      <c r="A29" s="13"/>
      <c r="B29" s="26" t="s">
        <v>4</v>
      </c>
      <c r="C29" s="27">
        <f>SUM(C23:C28)</f>
        <v>431290.27</v>
      </c>
      <c r="H29"/>
      <c r="I29"/>
      <c r="J29"/>
      <c r="K29"/>
    </row>
    <row r="30" spans="1:11" ht="19.5" thickTop="1" x14ac:dyDescent="0.3">
      <c r="H30"/>
      <c r="I30"/>
      <c r="J30"/>
      <c r="K30"/>
    </row>
    <row r="31" spans="1:11" ht="21.75" thickBot="1" x14ac:dyDescent="0.4">
      <c r="C31" s="77" t="s">
        <v>269</v>
      </c>
      <c r="D31" s="77" t="s">
        <v>248</v>
      </c>
      <c r="E31" s="135" t="s">
        <v>247</v>
      </c>
      <c r="H31"/>
      <c r="I31"/>
      <c r="J31"/>
      <c r="K31"/>
    </row>
    <row r="32" spans="1:11" ht="37.5" x14ac:dyDescent="0.3">
      <c r="A32" s="59" t="s">
        <v>296</v>
      </c>
      <c r="B32" s="60"/>
      <c r="C32" s="61">
        <f>C24</f>
        <v>6314.4700000000039</v>
      </c>
      <c r="D32" s="2">
        <v>6314.47</v>
      </c>
      <c r="E32" s="2">
        <f>C32-D32</f>
        <v>0</v>
      </c>
      <c r="H32"/>
      <c r="I32"/>
      <c r="J32"/>
      <c r="K32"/>
    </row>
    <row r="33" spans="1:11" ht="37.5" x14ac:dyDescent="0.3">
      <c r="A33" s="138" t="s">
        <v>297</v>
      </c>
      <c r="B33" s="139"/>
      <c r="C33" s="140">
        <f>C25</f>
        <v>74414.81</v>
      </c>
      <c r="D33" s="2">
        <v>74414.81</v>
      </c>
      <c r="E33" s="2">
        <f>C33-D33</f>
        <v>0</v>
      </c>
      <c r="H33"/>
      <c r="I33"/>
      <c r="J33"/>
      <c r="K33"/>
    </row>
    <row r="34" spans="1:11" x14ac:dyDescent="0.3">
      <c r="A34" s="62" t="s">
        <v>218</v>
      </c>
      <c r="B34" s="56"/>
      <c r="C34" s="63">
        <f>SUM(C26:D26)</f>
        <v>350461.12</v>
      </c>
      <c r="D34" s="2">
        <v>350461.12</v>
      </c>
      <c r="E34" s="2">
        <f>C34-D34</f>
        <v>0</v>
      </c>
      <c r="H34"/>
      <c r="I34"/>
      <c r="J34"/>
      <c r="K34"/>
    </row>
    <row r="35" spans="1:11" x14ac:dyDescent="0.3">
      <c r="A35" s="64" t="s">
        <v>219</v>
      </c>
      <c r="B35" s="57"/>
      <c r="C35" s="65">
        <f>SUM(C27:D27)</f>
        <v>0</v>
      </c>
      <c r="D35" s="2">
        <v>0</v>
      </c>
      <c r="E35" s="2">
        <f>C35-D35</f>
        <v>0</v>
      </c>
      <c r="H35"/>
      <c r="I35"/>
      <c r="J35"/>
      <c r="K35"/>
    </row>
    <row r="36" spans="1:11" ht="18" customHeight="1" x14ac:dyDescent="0.3">
      <c r="A36" s="66" t="s">
        <v>220</v>
      </c>
      <c r="B36" s="58"/>
      <c r="C36" s="67">
        <f>C28</f>
        <v>99.870000000002619</v>
      </c>
      <c r="D36" s="2">
        <v>99.87</v>
      </c>
      <c r="E36" s="2">
        <f>C36-D36</f>
        <v>2.6147972675971687E-12</v>
      </c>
      <c r="H36"/>
      <c r="I36"/>
      <c r="J36"/>
      <c r="K36"/>
    </row>
    <row r="37" spans="1:11" ht="19.5" thickBot="1" x14ac:dyDescent="0.35">
      <c r="A37" s="68" t="s">
        <v>271</v>
      </c>
      <c r="B37" s="69"/>
      <c r="C37" s="70">
        <f>B21</f>
        <v>0</v>
      </c>
      <c r="H37"/>
      <c r="I37"/>
      <c r="J37"/>
      <c r="K37"/>
    </row>
    <row r="38" spans="1:11" x14ac:dyDescent="0.3">
      <c r="C38" s="2">
        <f>SUM(C32:C37)</f>
        <v>431290.27</v>
      </c>
      <c r="H38"/>
      <c r="I38"/>
      <c r="J38"/>
      <c r="K38"/>
    </row>
    <row r="598" spans="10:10" x14ac:dyDescent="0.3">
      <c r="J598" s="13" t="s">
        <v>60</v>
      </c>
    </row>
  </sheetData>
  <mergeCells count="5">
    <mergeCell ref="A1:A2"/>
    <mergeCell ref="B1:B2"/>
    <mergeCell ref="C1:C2"/>
    <mergeCell ref="D1:D2"/>
    <mergeCell ref="E1:E2"/>
  </mergeCells>
  <phoneticPr fontId="26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48F1-EBBA-4D9F-9812-E851DC28DFD8}">
  <dimension ref="A1:AV127"/>
  <sheetViews>
    <sheetView tabSelected="1" zoomScaleNormal="100" workbookViewId="0">
      <selection activeCell="Z35" sqref="Z35"/>
    </sheetView>
  </sheetViews>
  <sheetFormatPr defaultColWidth="12.140625" defaultRowHeight="12.75" x14ac:dyDescent="0.25"/>
  <cols>
    <col min="1" max="1" width="8.85546875" style="73" bestFit="1" customWidth="1"/>
    <col min="2" max="2" width="8.7109375" style="73" bestFit="1" customWidth="1"/>
    <col min="3" max="3" width="13.28515625" style="73" bestFit="1" customWidth="1"/>
    <col min="4" max="4" width="7.5703125" style="73" bestFit="1" customWidth="1"/>
    <col min="5" max="5" width="8.7109375" style="73" bestFit="1" customWidth="1"/>
    <col min="6" max="6" width="12.85546875" style="73" bestFit="1" customWidth="1"/>
    <col min="7" max="7" width="10.42578125" style="73" bestFit="1" customWidth="1"/>
    <col min="8" max="8" width="8.7109375" style="73" bestFit="1" customWidth="1"/>
    <col min="9" max="9" width="16.28515625" style="73" bestFit="1" customWidth="1"/>
    <col min="10" max="10" width="8.85546875" style="73" bestFit="1" customWidth="1"/>
    <col min="11" max="11" width="8.7109375" style="73" bestFit="1" customWidth="1"/>
    <col min="12" max="12" width="16.28515625" style="73" bestFit="1" customWidth="1"/>
    <col min="13" max="13" width="11.7109375" style="73" bestFit="1" customWidth="1"/>
    <col min="14" max="14" width="8.7109375" style="73" bestFit="1" customWidth="1"/>
    <col min="15" max="16" width="13.28515625" style="73" bestFit="1" customWidth="1"/>
    <col min="17" max="17" width="8.7109375" style="73" bestFit="1" customWidth="1"/>
    <col min="18" max="18" width="13.28515625" style="73" bestFit="1" customWidth="1"/>
    <col min="19" max="19" width="9.42578125" style="73" bestFit="1" customWidth="1"/>
    <col min="20" max="20" width="8.7109375" style="73" bestFit="1" customWidth="1"/>
    <col min="21" max="21" width="14.7109375" style="73" bestFit="1" customWidth="1"/>
    <col min="22" max="22" width="10.28515625" style="73" bestFit="1" customWidth="1"/>
    <col min="23" max="23" width="8.7109375" style="73" bestFit="1" customWidth="1"/>
    <col min="24" max="24" width="13.28515625" style="73" bestFit="1" customWidth="1"/>
    <col min="25" max="25" width="11.42578125" style="73" customWidth="1"/>
    <col min="26" max="26" width="10.28515625" style="73" bestFit="1" customWidth="1"/>
    <col min="27" max="27" width="15.7109375" style="73" bestFit="1" customWidth="1"/>
    <col min="28" max="29" width="9.140625" style="73" bestFit="1" customWidth="1"/>
    <col min="30" max="30" width="13.28515625" style="73" bestFit="1" customWidth="1"/>
    <col min="31" max="31" width="9.85546875" style="73" bestFit="1" customWidth="1"/>
    <col min="32" max="32" width="8.7109375" style="73" bestFit="1" customWidth="1"/>
    <col min="33" max="33" width="13.28515625" style="73" bestFit="1" customWidth="1"/>
    <col min="34" max="34" width="7.140625" style="73" bestFit="1" customWidth="1"/>
    <col min="35" max="35" width="8.7109375" style="73" bestFit="1" customWidth="1"/>
    <col min="36" max="36" width="11.5703125" style="73" bestFit="1" customWidth="1"/>
    <col min="37" max="37" width="9.7109375" style="73" bestFit="1" customWidth="1"/>
    <col min="38" max="38" width="8.7109375" style="73" bestFit="1" customWidth="1"/>
    <col min="39" max="39" width="6.42578125" style="73" bestFit="1" customWidth="1"/>
    <col min="40" max="44" width="12.140625" style="73"/>
    <col min="45" max="45" width="13.28515625" style="73" bestFit="1" customWidth="1"/>
    <col min="46" max="47" width="12.140625" style="73"/>
    <col min="48" max="48" width="13.28515625" style="73" bestFit="1" customWidth="1"/>
    <col min="49" max="16384" width="12.140625" style="73"/>
  </cols>
  <sheetData>
    <row r="1" spans="1:48" s="81" customFormat="1" ht="39" customHeight="1" x14ac:dyDescent="0.25">
      <c r="A1" s="71" t="s">
        <v>25</v>
      </c>
      <c r="B1" s="78" t="s">
        <v>29</v>
      </c>
      <c r="C1" s="79">
        <v>24858.02</v>
      </c>
      <c r="D1" s="71" t="s">
        <v>30</v>
      </c>
      <c r="E1" s="78" t="s">
        <v>29</v>
      </c>
      <c r="F1" s="79">
        <v>1471.4</v>
      </c>
      <c r="G1" s="71" t="s">
        <v>40</v>
      </c>
      <c r="H1" s="78" t="s">
        <v>29</v>
      </c>
      <c r="I1" s="79">
        <v>1720.97</v>
      </c>
      <c r="J1" s="71" t="s">
        <v>31</v>
      </c>
      <c r="K1" s="78" t="s">
        <v>29</v>
      </c>
      <c r="L1" s="79">
        <v>0</v>
      </c>
      <c r="M1" s="71" t="s">
        <v>32</v>
      </c>
      <c r="N1" s="78" t="s">
        <v>29</v>
      </c>
      <c r="O1" s="79">
        <v>0</v>
      </c>
      <c r="P1" s="71" t="s">
        <v>39</v>
      </c>
      <c r="Q1" s="78" t="s">
        <v>29</v>
      </c>
      <c r="R1" s="79">
        <v>15200</v>
      </c>
      <c r="S1" s="71" t="s">
        <v>33</v>
      </c>
      <c r="T1" s="78" t="s">
        <v>29</v>
      </c>
      <c r="U1" s="79">
        <v>28330</v>
      </c>
      <c r="V1" s="71" t="s">
        <v>34</v>
      </c>
      <c r="W1" s="78" t="s">
        <v>29</v>
      </c>
      <c r="X1" s="79">
        <v>0</v>
      </c>
      <c r="Y1" s="71" t="s">
        <v>35</v>
      </c>
      <c r="Z1" s="78" t="s">
        <v>29</v>
      </c>
      <c r="AA1" s="79">
        <v>46156</v>
      </c>
      <c r="AB1" s="80" t="s">
        <v>36</v>
      </c>
      <c r="AC1" s="78" t="s">
        <v>29</v>
      </c>
      <c r="AD1" s="79">
        <v>87.07</v>
      </c>
      <c r="AE1" s="71" t="s">
        <v>37</v>
      </c>
      <c r="AF1" s="78" t="s">
        <v>29</v>
      </c>
      <c r="AG1" s="79">
        <v>13120</v>
      </c>
      <c r="AH1" s="71" t="s">
        <v>38</v>
      </c>
      <c r="AI1" s="78" t="s">
        <v>29</v>
      </c>
      <c r="AJ1" s="79">
        <v>0</v>
      </c>
      <c r="AK1" s="71" t="s">
        <v>217</v>
      </c>
      <c r="AL1" s="78" t="s">
        <v>29</v>
      </c>
      <c r="AM1" s="79">
        <v>0</v>
      </c>
      <c r="AN1" s="71" t="s">
        <v>270</v>
      </c>
      <c r="AO1" s="78" t="s">
        <v>29</v>
      </c>
      <c r="AP1" s="79">
        <v>0</v>
      </c>
      <c r="AQ1" s="71" t="s">
        <v>272</v>
      </c>
      <c r="AR1" s="78" t="s">
        <v>29</v>
      </c>
      <c r="AS1" s="79">
        <v>0</v>
      </c>
      <c r="AT1" s="71" t="s">
        <v>294</v>
      </c>
      <c r="AU1" s="78" t="s">
        <v>29</v>
      </c>
      <c r="AV1" s="137">
        <v>0</v>
      </c>
    </row>
    <row r="2" spans="1:48" x14ac:dyDescent="0.25">
      <c r="A2" s="144" t="s">
        <v>26</v>
      </c>
      <c r="B2" s="144" t="s">
        <v>27</v>
      </c>
      <c r="C2" s="72" t="s">
        <v>28</v>
      </c>
      <c r="D2" s="144" t="s">
        <v>26</v>
      </c>
      <c r="E2" s="144" t="s">
        <v>27</v>
      </c>
      <c r="F2" s="72" t="s">
        <v>28</v>
      </c>
      <c r="G2" s="144" t="s">
        <v>26</v>
      </c>
      <c r="H2" s="144" t="s">
        <v>27</v>
      </c>
      <c r="I2" s="72" t="s">
        <v>28</v>
      </c>
      <c r="J2" s="144" t="s">
        <v>26</v>
      </c>
      <c r="K2" s="144" t="s">
        <v>27</v>
      </c>
      <c r="L2" s="72" t="s">
        <v>28</v>
      </c>
      <c r="M2" s="144" t="s">
        <v>26</v>
      </c>
      <c r="N2" s="144" t="s">
        <v>27</v>
      </c>
      <c r="O2" s="72" t="s">
        <v>28</v>
      </c>
      <c r="P2" s="144" t="s">
        <v>26</v>
      </c>
      <c r="Q2" s="144" t="s">
        <v>27</v>
      </c>
      <c r="R2" s="72" t="s">
        <v>28</v>
      </c>
      <c r="S2" s="144" t="s">
        <v>26</v>
      </c>
      <c r="T2" s="144" t="s">
        <v>27</v>
      </c>
      <c r="U2" s="72" t="s">
        <v>28</v>
      </c>
      <c r="V2" s="144" t="s">
        <v>26</v>
      </c>
      <c r="W2" s="144" t="s">
        <v>27</v>
      </c>
      <c r="X2" s="72" t="s">
        <v>28</v>
      </c>
      <c r="Y2" s="144" t="s">
        <v>26</v>
      </c>
      <c r="Z2" s="144" t="s">
        <v>27</v>
      </c>
      <c r="AA2" s="72" t="s">
        <v>28</v>
      </c>
      <c r="AB2" s="144" t="s">
        <v>26</v>
      </c>
      <c r="AC2" s="144" t="s">
        <v>27</v>
      </c>
      <c r="AD2" s="72" t="s">
        <v>28</v>
      </c>
      <c r="AE2" s="144" t="s">
        <v>26</v>
      </c>
      <c r="AF2" s="144" t="s">
        <v>27</v>
      </c>
      <c r="AG2" s="72" t="s">
        <v>28</v>
      </c>
      <c r="AH2" s="144" t="s">
        <v>26</v>
      </c>
      <c r="AI2" s="144" t="s">
        <v>27</v>
      </c>
      <c r="AJ2" s="72" t="s">
        <v>28</v>
      </c>
      <c r="AK2" s="144" t="s">
        <v>26</v>
      </c>
      <c r="AL2" s="144" t="s">
        <v>27</v>
      </c>
      <c r="AM2" s="72" t="s">
        <v>28</v>
      </c>
      <c r="AN2" s="144" t="s">
        <v>26</v>
      </c>
      <c r="AO2" s="144" t="s">
        <v>27</v>
      </c>
      <c r="AP2" s="72" t="s">
        <v>28</v>
      </c>
      <c r="AQ2" s="144" t="s">
        <v>26</v>
      </c>
      <c r="AR2" s="144" t="s">
        <v>27</v>
      </c>
      <c r="AS2" s="72" t="s">
        <v>28</v>
      </c>
      <c r="AT2" s="144" t="s">
        <v>26</v>
      </c>
      <c r="AU2" s="144" t="s">
        <v>27</v>
      </c>
      <c r="AV2" s="72" t="s">
        <v>28</v>
      </c>
    </row>
    <row r="3" spans="1:48" x14ac:dyDescent="0.25">
      <c r="A3" s="144"/>
      <c r="B3" s="144"/>
      <c r="C3" s="145">
        <f>C1+A79-B79</f>
        <v>5221.2700000000041</v>
      </c>
      <c r="D3" s="144"/>
      <c r="E3" s="144"/>
      <c r="F3" s="143">
        <f>F1+D11-E11</f>
        <v>1093.2</v>
      </c>
      <c r="G3" s="144"/>
      <c r="H3" s="144"/>
      <c r="I3" s="146">
        <f>I1+G127-H127</f>
        <v>116168.12</v>
      </c>
      <c r="J3" s="144"/>
      <c r="K3" s="144"/>
      <c r="L3" s="143">
        <f>L1+J11-K11</f>
        <v>96558</v>
      </c>
      <c r="M3" s="144"/>
      <c r="N3" s="144"/>
      <c r="O3" s="145">
        <f>O1+M21-N21</f>
        <v>31410</v>
      </c>
      <c r="P3" s="144"/>
      <c r="Q3" s="144"/>
      <c r="R3" s="145">
        <f>R1+P14-Q14</f>
        <v>58950</v>
      </c>
      <c r="S3" s="144"/>
      <c r="T3" s="144"/>
      <c r="U3" s="145">
        <f>U1+S42-T42</f>
        <v>47375</v>
      </c>
      <c r="V3" s="144"/>
      <c r="W3" s="144"/>
      <c r="X3" s="145">
        <f>X1+V13-W13</f>
        <v>0</v>
      </c>
      <c r="Y3" s="144"/>
      <c r="Z3" s="144"/>
      <c r="AA3" s="145">
        <f>AA1+Y35-Z35</f>
        <v>0</v>
      </c>
      <c r="AB3" s="144"/>
      <c r="AC3" s="144"/>
      <c r="AD3" s="145">
        <f>AD1+AB14-AC14</f>
        <v>99.870000000002619</v>
      </c>
      <c r="AE3" s="144"/>
      <c r="AF3" s="144"/>
      <c r="AG3" s="145">
        <f>AG1+AE11-AF11</f>
        <v>13120</v>
      </c>
      <c r="AH3" s="144"/>
      <c r="AI3" s="144"/>
      <c r="AJ3" s="145">
        <f>AJ1+AH39-AI39</f>
        <v>0</v>
      </c>
      <c r="AK3" s="144"/>
      <c r="AL3" s="144"/>
      <c r="AM3" s="145">
        <f>AM1+AK15-AL15</f>
        <v>0</v>
      </c>
      <c r="AN3" s="144"/>
      <c r="AO3" s="144"/>
      <c r="AP3" s="145">
        <f>AP1+AN11-AO11</f>
        <v>0</v>
      </c>
      <c r="AQ3" s="144"/>
      <c r="AR3" s="144"/>
      <c r="AS3" s="145">
        <f>AS1+AQ11-AR11</f>
        <v>0</v>
      </c>
      <c r="AT3" s="144"/>
      <c r="AU3" s="144"/>
      <c r="AV3" s="145">
        <f>AV1+AT11-AU11</f>
        <v>74414.81</v>
      </c>
    </row>
    <row r="4" spans="1:48" x14ac:dyDescent="0.25">
      <c r="A4" s="72"/>
      <c r="B4" s="72">
        <v>7000</v>
      </c>
      <c r="C4" s="145"/>
      <c r="D4" s="72">
        <v>1070</v>
      </c>
      <c r="E4" s="72"/>
      <c r="F4" s="143"/>
      <c r="G4" s="72">
        <v>177960</v>
      </c>
      <c r="H4" s="72"/>
      <c r="I4" s="147"/>
      <c r="J4" s="72">
        <v>96558</v>
      </c>
      <c r="K4" s="72"/>
      <c r="L4" s="143"/>
      <c r="M4" s="72">
        <v>32425</v>
      </c>
      <c r="N4" s="72"/>
      <c r="O4" s="145"/>
      <c r="P4" s="72"/>
      <c r="Q4" s="72">
        <v>15200</v>
      </c>
      <c r="R4" s="145"/>
      <c r="S4" s="72">
        <v>49290</v>
      </c>
      <c r="T4" s="72"/>
      <c r="U4" s="145"/>
      <c r="V4" s="72">
        <v>34000</v>
      </c>
      <c r="W4" s="72"/>
      <c r="X4" s="145"/>
      <c r="Y4" s="72"/>
      <c r="Z4" s="72">
        <v>39072</v>
      </c>
      <c r="AA4" s="145"/>
      <c r="AB4" s="72">
        <v>46400</v>
      </c>
      <c r="AC4" s="72"/>
      <c r="AD4" s="145"/>
      <c r="AE4" s="72"/>
      <c r="AF4" s="72"/>
      <c r="AG4" s="145"/>
      <c r="AH4" s="72">
        <v>125</v>
      </c>
      <c r="AI4" s="72"/>
      <c r="AJ4" s="145"/>
      <c r="AK4" s="72"/>
      <c r="AL4" s="72"/>
      <c r="AM4" s="145"/>
      <c r="AN4" s="72">
        <v>353.57</v>
      </c>
      <c r="AO4" s="72"/>
      <c r="AP4" s="145"/>
      <c r="AQ4" s="72"/>
      <c r="AR4" s="72"/>
      <c r="AS4" s="145"/>
      <c r="AT4" s="72">
        <v>87330</v>
      </c>
      <c r="AU4" s="72"/>
      <c r="AV4" s="145"/>
    </row>
    <row r="5" spans="1:48" x14ac:dyDescent="0.25">
      <c r="A5" s="72"/>
      <c r="B5" s="72">
        <v>7000</v>
      </c>
      <c r="C5" s="145"/>
      <c r="D5" s="72"/>
      <c r="E5" s="72">
        <v>528.20000000000005</v>
      </c>
      <c r="F5" s="143"/>
      <c r="G5" s="72"/>
      <c r="H5" s="72">
        <v>6803.17</v>
      </c>
      <c r="I5" s="147"/>
      <c r="J5" s="72"/>
      <c r="K5" s="72"/>
      <c r="L5" s="143"/>
      <c r="M5" s="72">
        <v>13615</v>
      </c>
      <c r="N5" s="72"/>
      <c r="O5" s="145"/>
      <c r="P5" s="72">
        <v>58950</v>
      </c>
      <c r="Q5" s="72"/>
      <c r="R5" s="145"/>
      <c r="S5" s="72">
        <v>20655</v>
      </c>
      <c r="T5" s="72"/>
      <c r="U5" s="145"/>
      <c r="V5" s="72"/>
      <c r="W5" s="72">
        <v>34000</v>
      </c>
      <c r="X5" s="145"/>
      <c r="Y5" s="72"/>
      <c r="Z5" s="72">
        <v>7084</v>
      </c>
      <c r="AA5" s="145"/>
      <c r="AB5" s="72">
        <v>12.8</v>
      </c>
      <c r="AC5" s="72"/>
      <c r="AD5" s="145"/>
      <c r="AE5" s="72"/>
      <c r="AF5" s="72"/>
      <c r="AG5" s="145"/>
      <c r="AH5" s="72"/>
      <c r="AI5" s="72">
        <v>125</v>
      </c>
      <c r="AJ5" s="145"/>
      <c r="AK5" s="72"/>
      <c r="AL5" s="72"/>
      <c r="AM5" s="145"/>
      <c r="AN5" s="72">
        <v>381.87</v>
      </c>
      <c r="AO5" s="72"/>
      <c r="AP5" s="145"/>
      <c r="AQ5" s="72"/>
      <c r="AR5" s="72"/>
      <c r="AS5" s="145"/>
      <c r="AT5" s="72">
        <v>84.81</v>
      </c>
      <c r="AU5" s="72"/>
      <c r="AV5" s="145"/>
    </row>
    <row r="6" spans="1:48" x14ac:dyDescent="0.25">
      <c r="A6" s="72"/>
      <c r="B6" s="72">
        <v>7000</v>
      </c>
      <c r="C6" s="145"/>
      <c r="D6" s="72"/>
      <c r="E6" s="72">
        <v>600</v>
      </c>
      <c r="F6" s="143"/>
      <c r="G6" s="72"/>
      <c r="H6" s="72">
        <v>2003</v>
      </c>
      <c r="I6" s="147"/>
      <c r="J6" s="72"/>
      <c r="K6" s="72"/>
      <c r="L6" s="143"/>
      <c r="M6" s="72"/>
      <c r="N6" s="72">
        <v>46040</v>
      </c>
      <c r="O6" s="145"/>
      <c r="P6" s="72"/>
      <c r="Q6" s="72"/>
      <c r="R6" s="145"/>
      <c r="S6" s="72"/>
      <c r="T6" s="72">
        <v>4950</v>
      </c>
      <c r="U6" s="145"/>
      <c r="V6" s="72"/>
      <c r="W6" s="72"/>
      <c r="X6" s="145"/>
      <c r="Y6" s="72">
        <v>488400</v>
      </c>
      <c r="Z6" s="72"/>
      <c r="AA6" s="145"/>
      <c r="AB6" s="72"/>
      <c r="AC6" s="72">
        <v>46400</v>
      </c>
      <c r="AD6" s="145"/>
      <c r="AE6" s="72"/>
      <c r="AF6" s="72"/>
      <c r="AG6" s="145"/>
      <c r="AH6" s="72">
        <v>116</v>
      </c>
      <c r="AI6" s="72"/>
      <c r="AJ6" s="145"/>
      <c r="AK6" s="72"/>
      <c r="AL6" s="72"/>
      <c r="AM6" s="145"/>
      <c r="AN6" s="72"/>
      <c r="AO6" s="72">
        <v>353.57</v>
      </c>
      <c r="AP6" s="145"/>
      <c r="AQ6" s="72"/>
      <c r="AR6" s="72"/>
      <c r="AS6" s="145"/>
      <c r="AT6" s="72"/>
      <c r="AU6" s="72">
        <v>7000</v>
      </c>
      <c r="AV6" s="145"/>
    </row>
    <row r="7" spans="1:48" x14ac:dyDescent="0.2">
      <c r="A7" s="72">
        <v>15300</v>
      </c>
      <c r="B7" s="72"/>
      <c r="C7" s="145"/>
      <c r="D7" s="72"/>
      <c r="E7" s="72">
        <v>320</v>
      </c>
      <c r="F7" s="143"/>
      <c r="G7" s="72"/>
      <c r="H7" s="72">
        <v>1465</v>
      </c>
      <c r="I7" s="147"/>
      <c r="J7" s="72"/>
      <c r="K7" s="72"/>
      <c r="L7" s="143"/>
      <c r="M7" s="72">
        <v>31410</v>
      </c>
      <c r="N7" s="72"/>
      <c r="O7" s="145"/>
      <c r="P7" s="72"/>
      <c r="Q7" s="72"/>
      <c r="R7" s="145"/>
      <c r="S7" s="72"/>
      <c r="T7" s="72">
        <v>2000</v>
      </c>
      <c r="U7" s="145"/>
      <c r="V7" s="72"/>
      <c r="W7" s="72"/>
      <c r="X7" s="145"/>
      <c r="Y7" s="72"/>
      <c r="Z7" s="72">
        <v>24420</v>
      </c>
      <c r="AA7" s="145"/>
      <c r="AB7" s="72"/>
      <c r="AC7" s="72"/>
      <c r="AD7" s="145"/>
      <c r="AE7" s="72"/>
      <c r="AF7" s="72"/>
      <c r="AG7" s="145"/>
      <c r="AH7" s="72"/>
      <c r="AI7" s="72">
        <v>116</v>
      </c>
      <c r="AJ7" s="145"/>
      <c r="AK7" s="72"/>
      <c r="AL7" s="72"/>
      <c r="AM7" s="145"/>
      <c r="AN7" s="123"/>
      <c r="AO7" s="72">
        <v>381.87</v>
      </c>
      <c r="AP7" s="145"/>
      <c r="AQ7" s="72"/>
      <c r="AR7" s="72"/>
      <c r="AS7" s="145"/>
      <c r="AT7" s="72">
        <v>1000</v>
      </c>
      <c r="AU7" s="72"/>
      <c r="AV7" s="145"/>
    </row>
    <row r="8" spans="1:48" x14ac:dyDescent="0.2">
      <c r="A8" s="72">
        <v>63.25</v>
      </c>
      <c r="B8" s="72"/>
      <c r="C8" s="145"/>
      <c r="D8" s="72"/>
      <c r="E8" s="72"/>
      <c r="F8" s="143"/>
      <c r="G8" s="72"/>
      <c r="H8" s="72">
        <v>4040</v>
      </c>
      <c r="I8" s="147"/>
      <c r="J8" s="72"/>
      <c r="K8" s="72"/>
      <c r="L8" s="143"/>
      <c r="M8" s="72"/>
      <c r="N8" s="72"/>
      <c r="O8" s="145"/>
      <c r="P8" s="72"/>
      <c r="Q8" s="72"/>
      <c r="R8" s="145"/>
      <c r="S8" s="72"/>
      <c r="T8" s="72">
        <v>4000</v>
      </c>
      <c r="U8" s="145"/>
      <c r="V8" s="72"/>
      <c r="W8" s="72"/>
      <c r="X8" s="145"/>
      <c r="Y8" s="72"/>
      <c r="Z8" s="72">
        <v>34188</v>
      </c>
      <c r="AA8" s="145"/>
      <c r="AB8" s="72"/>
      <c r="AC8" s="72"/>
      <c r="AD8" s="145"/>
      <c r="AE8" s="72"/>
      <c r="AF8" s="72"/>
      <c r="AG8" s="145"/>
      <c r="AH8" s="72">
        <v>113</v>
      </c>
      <c r="AI8" s="72"/>
      <c r="AJ8" s="145"/>
      <c r="AK8" s="72"/>
      <c r="AL8" s="72"/>
      <c r="AM8" s="145"/>
      <c r="AN8" s="123"/>
      <c r="AO8" s="72"/>
      <c r="AP8" s="145"/>
      <c r="AQ8" s="72"/>
      <c r="AR8" s="72"/>
      <c r="AS8" s="145"/>
      <c r="AT8" s="72"/>
      <c r="AU8" s="72">
        <v>7000</v>
      </c>
      <c r="AV8" s="145"/>
    </row>
    <row r="9" spans="1:48" x14ac:dyDescent="0.2">
      <c r="A9" s="72"/>
      <c r="B9" s="72">
        <v>7000</v>
      </c>
      <c r="C9" s="145"/>
      <c r="D9" s="72"/>
      <c r="E9" s="72"/>
      <c r="F9" s="143"/>
      <c r="G9" s="72"/>
      <c r="H9" s="72">
        <v>4290</v>
      </c>
      <c r="I9" s="147"/>
      <c r="J9" s="72"/>
      <c r="K9" s="72"/>
      <c r="L9" s="143"/>
      <c r="M9" s="72"/>
      <c r="N9" s="72"/>
      <c r="O9" s="145"/>
      <c r="P9" s="72"/>
      <c r="Q9" s="72"/>
      <c r="R9" s="145"/>
      <c r="S9" s="72"/>
      <c r="T9" s="72">
        <v>8200</v>
      </c>
      <c r="U9" s="145"/>
      <c r="V9" s="72"/>
      <c r="W9" s="72"/>
      <c r="X9" s="145"/>
      <c r="Y9" s="72">
        <v>9900</v>
      </c>
      <c r="Z9" s="72"/>
      <c r="AA9" s="145"/>
      <c r="AB9" s="72"/>
      <c r="AC9" s="72"/>
      <c r="AD9" s="145"/>
      <c r="AE9" s="72"/>
      <c r="AF9" s="72"/>
      <c r="AG9" s="145"/>
      <c r="AH9" s="72"/>
      <c r="AI9" s="72">
        <v>113</v>
      </c>
      <c r="AJ9" s="145"/>
      <c r="AK9" s="72"/>
      <c r="AL9" s="72"/>
      <c r="AM9" s="145"/>
      <c r="AN9" s="72"/>
      <c r="AO9" s="123"/>
      <c r="AP9" s="145"/>
      <c r="AQ9" s="72"/>
      <c r="AR9" s="72"/>
      <c r="AS9" s="145"/>
      <c r="AT9" s="72"/>
      <c r="AU9" s="72"/>
      <c r="AV9" s="145"/>
    </row>
    <row r="10" spans="1:48" x14ac:dyDescent="0.2">
      <c r="A10" s="72"/>
      <c r="B10" s="72">
        <v>7000</v>
      </c>
      <c r="C10" s="145"/>
      <c r="D10" s="72"/>
      <c r="E10" s="72"/>
      <c r="F10" s="143"/>
      <c r="G10" s="72"/>
      <c r="H10" s="72">
        <v>900</v>
      </c>
      <c r="I10" s="147"/>
      <c r="J10" s="72"/>
      <c r="K10" s="72"/>
      <c r="L10" s="143"/>
      <c r="M10" s="72"/>
      <c r="N10" s="72"/>
      <c r="O10" s="145"/>
      <c r="P10" s="72"/>
      <c r="Q10" s="72"/>
      <c r="R10" s="145"/>
      <c r="S10" s="72"/>
      <c r="T10" s="72">
        <v>3500</v>
      </c>
      <c r="U10" s="145"/>
      <c r="V10" s="72"/>
      <c r="W10" s="72"/>
      <c r="X10" s="145"/>
      <c r="Y10" s="72"/>
      <c r="Z10" s="72">
        <v>19976</v>
      </c>
      <c r="AA10" s="145"/>
      <c r="AB10" s="72"/>
      <c r="AC10" s="72"/>
      <c r="AD10" s="145"/>
      <c r="AE10" s="72"/>
      <c r="AF10" s="72"/>
      <c r="AG10" s="145"/>
      <c r="AH10" s="72"/>
      <c r="AI10" s="72"/>
      <c r="AJ10" s="145"/>
      <c r="AK10" s="72"/>
      <c r="AL10" s="72"/>
      <c r="AM10" s="145"/>
      <c r="AN10" s="72"/>
      <c r="AO10" s="123"/>
      <c r="AP10" s="145"/>
      <c r="AQ10" s="72"/>
      <c r="AR10" s="72"/>
      <c r="AS10" s="145"/>
      <c r="AT10" s="72"/>
      <c r="AU10" s="72"/>
      <c r="AV10" s="145"/>
    </row>
    <row r="11" spans="1:48" ht="15" x14ac:dyDescent="0.25">
      <c r="A11" s="72"/>
      <c r="B11" s="72"/>
      <c r="C11" s="145"/>
      <c r="D11" s="74">
        <f>SUM(D4:D10)</f>
        <v>1070</v>
      </c>
      <c r="E11" s="74">
        <f>SUM(E4:E10)</f>
        <v>1448.2</v>
      </c>
      <c r="F11" s="143"/>
      <c r="G11" s="72"/>
      <c r="H11" s="72">
        <v>1850</v>
      </c>
      <c r="I11" s="148"/>
      <c r="J11" s="74">
        <f>SUM(J4:J10)</f>
        <v>96558</v>
      </c>
      <c r="K11" s="74">
        <f>SUM(K4:K10)</f>
        <v>0</v>
      </c>
      <c r="L11" s="143"/>
      <c r="M11" s="72"/>
      <c r="N11" s="72"/>
      <c r="O11" s="145"/>
      <c r="P11" s="72"/>
      <c r="Q11" s="72"/>
      <c r="R11" s="145"/>
      <c r="S11" s="72"/>
      <c r="T11" s="72">
        <v>3000</v>
      </c>
      <c r="U11" s="145"/>
      <c r="V11" s="72"/>
      <c r="W11" s="72"/>
      <c r="X11" s="145"/>
      <c r="Y11" s="72"/>
      <c r="Z11" s="72">
        <v>19976</v>
      </c>
      <c r="AA11" s="145"/>
      <c r="AB11" s="72"/>
      <c r="AC11" s="72"/>
      <c r="AD11" s="145"/>
      <c r="AE11" s="134">
        <f>SUM(AE4:AE10)</f>
        <v>0</v>
      </c>
      <c r="AF11" s="134">
        <f>SUM(AF4:AF10)</f>
        <v>0</v>
      </c>
      <c r="AG11" s="149"/>
      <c r="AH11" s="72"/>
      <c r="AI11" s="72"/>
      <c r="AJ11" s="150"/>
      <c r="AK11" s="72"/>
      <c r="AL11" s="72"/>
      <c r="AM11" s="145"/>
      <c r="AN11" s="134">
        <f>SUM(AN4:AN10)</f>
        <v>735.44</v>
      </c>
      <c r="AO11" s="134">
        <f>SUM(AO4:AO10)</f>
        <v>735.44</v>
      </c>
      <c r="AP11" s="145"/>
      <c r="AQ11" s="134">
        <f>SUM(AQ4:AQ10)</f>
        <v>0</v>
      </c>
      <c r="AR11" s="134">
        <f>SUM(AR4:AR10)</f>
        <v>0</v>
      </c>
      <c r="AS11" s="145"/>
      <c r="AT11" s="134">
        <f>SUM(AT4:AT10)</f>
        <v>88414.81</v>
      </c>
      <c r="AU11" s="134">
        <f>SUM(AU4:AU10)</f>
        <v>14000</v>
      </c>
      <c r="AV11" s="145"/>
    </row>
    <row r="12" spans="1:48" x14ac:dyDescent="0.25">
      <c r="A12" s="75"/>
      <c r="B12" s="75"/>
      <c r="G12" s="75"/>
      <c r="H12" s="75">
        <v>3400</v>
      </c>
      <c r="M12" s="72"/>
      <c r="N12" s="72"/>
      <c r="P12" s="72"/>
      <c r="Q12" s="72"/>
      <c r="S12" s="72"/>
      <c r="T12" s="72">
        <v>7200</v>
      </c>
      <c r="V12" s="72"/>
      <c r="W12" s="72"/>
      <c r="Y12" s="72"/>
      <c r="Z12" s="72">
        <v>19976</v>
      </c>
      <c r="AB12" s="72"/>
      <c r="AC12" s="72"/>
      <c r="AH12" s="72"/>
      <c r="AI12" s="72"/>
      <c r="AK12" s="72"/>
      <c r="AL12" s="72"/>
    </row>
    <row r="13" spans="1:48" x14ac:dyDescent="0.25">
      <c r="A13" s="72"/>
      <c r="B13" s="72"/>
      <c r="G13" s="72"/>
      <c r="H13" s="72">
        <v>12500</v>
      </c>
      <c r="M13" s="72"/>
      <c r="N13" s="72"/>
      <c r="P13" s="72"/>
      <c r="Q13" s="72"/>
      <c r="S13" s="72"/>
      <c r="T13" s="72">
        <v>5600</v>
      </c>
      <c r="V13" s="74">
        <f>SUM(V4:V12)</f>
        <v>34000</v>
      </c>
      <c r="W13" s="74">
        <f>SUM(W4:W12)</f>
        <v>34000</v>
      </c>
      <c r="Y13" s="72"/>
      <c r="Z13" s="72">
        <v>29964</v>
      </c>
      <c r="AB13" s="72"/>
      <c r="AC13" s="72"/>
      <c r="AH13" s="72"/>
      <c r="AI13" s="72"/>
      <c r="AK13" s="72"/>
      <c r="AL13" s="72"/>
    </row>
    <row r="14" spans="1:48" x14ac:dyDescent="0.25">
      <c r="A14" s="72"/>
      <c r="B14" s="72"/>
      <c r="G14" s="72"/>
      <c r="H14" s="72">
        <v>3100</v>
      </c>
      <c r="M14" s="72"/>
      <c r="N14" s="72"/>
      <c r="P14" s="74">
        <f>SUM(P4:P13)</f>
        <v>58950</v>
      </c>
      <c r="Q14" s="74">
        <f>SUM(Q4:Q13)</f>
        <v>15200</v>
      </c>
      <c r="S14" s="72"/>
      <c r="T14" s="72">
        <v>15890</v>
      </c>
      <c r="Y14" s="72"/>
      <c r="Z14" s="72">
        <v>44946</v>
      </c>
      <c r="AB14" s="74">
        <f>SUM(AB4:AB13)</f>
        <v>46412.800000000003</v>
      </c>
      <c r="AC14" s="74">
        <f>SUM(AC4:AC13)</f>
        <v>46400</v>
      </c>
      <c r="AH14" s="72"/>
      <c r="AI14" s="72"/>
      <c r="AK14" s="72"/>
      <c r="AL14" s="72"/>
    </row>
    <row r="15" spans="1:48" ht="15" x14ac:dyDescent="0.25">
      <c r="A15" s="72"/>
      <c r="B15" s="72"/>
      <c r="G15" s="72"/>
      <c r="H15" s="72">
        <v>3000</v>
      </c>
      <c r="M15" s="72"/>
      <c r="N15" s="72"/>
      <c r="S15" s="72"/>
      <c r="T15" s="72">
        <v>6090</v>
      </c>
      <c r="Y15" s="72"/>
      <c r="Z15" s="72">
        <v>4994</v>
      </c>
      <c r="AH15" s="72"/>
      <c r="AI15" s="72"/>
      <c r="AK15" s="134">
        <f>SUM(AK4:AK14)</f>
        <v>0</v>
      </c>
      <c r="AL15" s="134">
        <f>SUM(AL4:AL14)</f>
        <v>0</v>
      </c>
    </row>
    <row r="16" spans="1:48" x14ac:dyDescent="0.25">
      <c r="A16" s="72"/>
      <c r="B16" s="72"/>
      <c r="G16" s="72"/>
      <c r="H16" s="72">
        <v>1605</v>
      </c>
      <c r="M16" s="72"/>
      <c r="N16" s="72"/>
      <c r="S16" s="72"/>
      <c r="T16" s="72">
        <v>9345</v>
      </c>
      <c r="Y16" s="72"/>
      <c r="Z16" s="72">
        <v>49940</v>
      </c>
      <c r="AH16" s="72"/>
      <c r="AI16" s="72"/>
    </row>
    <row r="17" spans="1:35" x14ac:dyDescent="0.25">
      <c r="A17" s="72"/>
      <c r="B17" s="72"/>
      <c r="G17" s="72"/>
      <c r="H17" s="72">
        <v>2896</v>
      </c>
      <c r="M17" s="72"/>
      <c r="N17" s="72"/>
      <c r="S17" s="72"/>
      <c r="T17" s="72">
        <v>8900</v>
      </c>
      <c r="Y17" s="72"/>
      <c r="Z17" s="72">
        <v>44946</v>
      </c>
      <c r="AH17" s="72"/>
      <c r="AI17" s="72"/>
    </row>
    <row r="18" spans="1:35" x14ac:dyDescent="0.25">
      <c r="A18" s="72"/>
      <c r="B18" s="72"/>
      <c r="G18" s="72"/>
      <c r="H18" s="72">
        <v>4858.53</v>
      </c>
      <c r="M18" s="72"/>
      <c r="N18" s="72"/>
      <c r="S18" s="72"/>
      <c r="T18" s="72">
        <v>5000</v>
      </c>
      <c r="Y18" s="72"/>
      <c r="Z18" s="72">
        <v>44946</v>
      </c>
      <c r="AH18" s="72"/>
      <c r="AI18" s="72"/>
    </row>
    <row r="19" spans="1:35" x14ac:dyDescent="0.25">
      <c r="A19" s="72"/>
      <c r="B19" s="72"/>
      <c r="G19" s="72"/>
      <c r="H19" s="72">
        <v>1000</v>
      </c>
      <c r="M19" s="72"/>
      <c r="N19" s="72"/>
      <c r="S19" s="72"/>
      <c r="T19" s="72">
        <v>14520</v>
      </c>
      <c r="Y19" s="72"/>
      <c r="Z19" s="72">
        <v>54934</v>
      </c>
      <c r="AH19" s="72"/>
      <c r="AI19" s="72"/>
    </row>
    <row r="20" spans="1:35" x14ac:dyDescent="0.25">
      <c r="A20" s="72"/>
      <c r="B20" s="72"/>
      <c r="G20" s="72"/>
      <c r="H20" s="72">
        <v>11600</v>
      </c>
      <c r="M20" s="72"/>
      <c r="N20" s="72"/>
      <c r="S20" s="72">
        <v>47295</v>
      </c>
      <c r="T20" s="72"/>
      <c r="Y20" s="72"/>
      <c r="Z20" s="72">
        <v>44946</v>
      </c>
      <c r="AH20" s="72"/>
      <c r="AI20" s="72"/>
    </row>
    <row r="21" spans="1:35" x14ac:dyDescent="0.25">
      <c r="A21" s="72"/>
      <c r="B21" s="72"/>
      <c r="G21" s="72"/>
      <c r="H21" s="72">
        <v>2300</v>
      </c>
      <c r="M21" s="74">
        <f>SUM(M4:M20)</f>
        <v>77450</v>
      </c>
      <c r="N21" s="74">
        <f>SUM(N4:N20)</f>
        <v>46040</v>
      </c>
      <c r="S21" s="72"/>
      <c r="T21" s="72"/>
      <c r="Y21" s="72"/>
      <c r="Z21" s="72">
        <v>59928</v>
      </c>
      <c r="AH21" s="72"/>
      <c r="AI21" s="72"/>
    </row>
    <row r="22" spans="1:35" x14ac:dyDescent="0.25">
      <c r="A22" s="72"/>
      <c r="B22" s="72"/>
      <c r="G22" s="72"/>
      <c r="H22" s="72">
        <v>2925</v>
      </c>
      <c r="S22" s="72"/>
      <c r="T22" s="72"/>
      <c r="Y22" s="72"/>
      <c r="Z22" s="72">
        <v>220</v>
      </c>
      <c r="AH22" s="72"/>
      <c r="AI22" s="72"/>
    </row>
    <row r="23" spans="1:35" x14ac:dyDescent="0.25">
      <c r="A23" s="72"/>
      <c r="B23" s="72"/>
      <c r="G23" s="72"/>
      <c r="H23" s="72">
        <v>3000</v>
      </c>
      <c r="S23" s="72"/>
      <c r="T23" s="72"/>
      <c r="Y23" s="72"/>
      <c r="Z23" s="72"/>
      <c r="AH23" s="72"/>
      <c r="AI23" s="72"/>
    </row>
    <row r="24" spans="1:35" x14ac:dyDescent="0.25">
      <c r="A24" s="72"/>
      <c r="B24" s="72"/>
      <c r="G24" s="72"/>
      <c r="H24" s="72">
        <v>1350</v>
      </c>
      <c r="S24" s="72"/>
      <c r="T24" s="72"/>
      <c r="Y24" s="72"/>
      <c r="Z24" s="72"/>
      <c r="AH24" s="72"/>
      <c r="AI24" s="72"/>
    </row>
    <row r="25" spans="1:35" x14ac:dyDescent="0.25">
      <c r="A25" s="72"/>
      <c r="B25" s="72"/>
      <c r="G25" s="72"/>
      <c r="H25" s="72">
        <v>3900</v>
      </c>
      <c r="S25" s="72"/>
      <c r="T25" s="72"/>
      <c r="Y25" s="72"/>
      <c r="Z25" s="72"/>
      <c r="AH25" s="72"/>
      <c r="AI25" s="72"/>
    </row>
    <row r="26" spans="1:35" x14ac:dyDescent="0.25">
      <c r="A26" s="72"/>
      <c r="B26" s="72"/>
      <c r="G26" s="72"/>
      <c r="H26" s="72">
        <v>720</v>
      </c>
      <c r="S26" s="72"/>
      <c r="T26" s="72"/>
      <c r="Y26" s="72"/>
      <c r="Z26" s="72"/>
      <c r="AH26" s="72"/>
      <c r="AI26" s="72"/>
    </row>
    <row r="27" spans="1:35" x14ac:dyDescent="0.25">
      <c r="A27" s="72"/>
      <c r="B27" s="72"/>
      <c r="G27" s="72"/>
      <c r="H27" s="72">
        <v>6208</v>
      </c>
      <c r="S27" s="72"/>
      <c r="T27" s="72"/>
      <c r="Y27" s="72"/>
      <c r="Z27" s="72"/>
      <c r="AH27" s="72"/>
      <c r="AI27" s="72"/>
    </row>
    <row r="28" spans="1:35" x14ac:dyDescent="0.25">
      <c r="A28" s="72"/>
      <c r="B28" s="72"/>
      <c r="G28" s="72"/>
      <c r="H28" s="72">
        <v>6024.43</v>
      </c>
      <c r="S28" s="72"/>
      <c r="T28" s="72"/>
      <c r="Y28" s="72"/>
      <c r="Z28" s="72"/>
      <c r="AH28" s="72"/>
      <c r="AI28" s="72"/>
    </row>
    <row r="29" spans="1:35" x14ac:dyDescent="0.25">
      <c r="A29" s="72"/>
      <c r="B29" s="72"/>
      <c r="G29" s="72">
        <v>74580</v>
      </c>
      <c r="H29" s="72"/>
      <c r="S29" s="72"/>
      <c r="T29" s="72"/>
      <c r="Y29" s="72"/>
      <c r="Z29" s="72"/>
      <c r="AH29" s="72"/>
      <c r="AI29" s="72"/>
    </row>
    <row r="30" spans="1:35" x14ac:dyDescent="0.25">
      <c r="A30" s="72"/>
      <c r="B30" s="72"/>
      <c r="G30" s="72"/>
      <c r="H30" s="72">
        <v>4765</v>
      </c>
      <c r="S30" s="72"/>
      <c r="T30" s="72"/>
      <c r="Y30" s="72"/>
      <c r="Z30" s="72"/>
      <c r="AH30" s="72"/>
      <c r="AI30" s="72"/>
    </row>
    <row r="31" spans="1:35" x14ac:dyDescent="0.25">
      <c r="A31" s="72"/>
      <c r="B31" s="72"/>
      <c r="G31" s="72"/>
      <c r="H31" s="72">
        <v>4960</v>
      </c>
      <c r="S31" s="72"/>
      <c r="T31" s="72"/>
      <c r="Y31" s="72"/>
      <c r="Z31" s="72"/>
      <c r="AH31" s="72"/>
      <c r="AI31" s="72"/>
    </row>
    <row r="32" spans="1:35" x14ac:dyDescent="0.25">
      <c r="A32" s="72"/>
      <c r="B32" s="72"/>
      <c r="G32" s="72"/>
      <c r="H32" s="72">
        <v>4515</v>
      </c>
      <c r="S32" s="72"/>
      <c r="T32" s="72"/>
      <c r="Y32" s="72"/>
      <c r="Z32" s="72"/>
      <c r="AH32" s="72"/>
      <c r="AI32" s="72"/>
    </row>
    <row r="33" spans="1:35" x14ac:dyDescent="0.25">
      <c r="A33" s="72"/>
      <c r="B33" s="72"/>
      <c r="G33" s="72"/>
      <c r="H33" s="72">
        <v>3860</v>
      </c>
      <c r="S33" s="72"/>
      <c r="T33" s="72"/>
      <c r="Y33" s="72"/>
      <c r="Z33" s="72"/>
      <c r="AH33" s="72"/>
      <c r="AI33" s="72"/>
    </row>
    <row r="34" spans="1:35" x14ac:dyDescent="0.25">
      <c r="A34" s="72"/>
      <c r="B34" s="72"/>
      <c r="G34" s="72"/>
      <c r="H34" s="72">
        <v>4980</v>
      </c>
      <c r="S34" s="72"/>
      <c r="T34" s="72"/>
      <c r="Y34" s="72"/>
      <c r="Z34" s="72"/>
      <c r="AH34" s="72"/>
      <c r="AI34" s="72"/>
    </row>
    <row r="35" spans="1:35" x14ac:dyDescent="0.25">
      <c r="A35" s="72"/>
      <c r="B35" s="72"/>
      <c r="G35" s="72"/>
      <c r="H35" s="72">
        <v>4900</v>
      </c>
      <c r="S35" s="72"/>
      <c r="T35" s="72"/>
      <c r="Y35" s="74">
        <f>SUM(Y4:Y34)</f>
        <v>498300</v>
      </c>
      <c r="Z35" s="74">
        <f>SUM(Z4:Z34)</f>
        <v>544456</v>
      </c>
      <c r="AH35" s="72"/>
      <c r="AI35" s="72"/>
    </row>
    <row r="36" spans="1:35" x14ac:dyDescent="0.25">
      <c r="A36" s="72"/>
      <c r="B36" s="72"/>
      <c r="G36" s="72"/>
      <c r="H36" s="72">
        <v>4620</v>
      </c>
      <c r="S36" s="72"/>
      <c r="T36" s="72"/>
      <c r="AH36" s="72"/>
      <c r="AI36" s="72"/>
    </row>
    <row r="37" spans="1:35" x14ac:dyDescent="0.25">
      <c r="A37" s="72"/>
      <c r="B37" s="72"/>
      <c r="G37" s="72"/>
      <c r="H37" s="72">
        <v>1785</v>
      </c>
      <c r="S37" s="72"/>
      <c r="T37" s="72"/>
      <c r="AH37" s="72"/>
      <c r="AI37" s="72"/>
    </row>
    <row r="38" spans="1:35" x14ac:dyDescent="0.25">
      <c r="A38" s="72"/>
      <c r="B38" s="72"/>
      <c r="G38" s="72"/>
      <c r="H38" s="72">
        <v>11300</v>
      </c>
      <c r="S38" s="72"/>
      <c r="T38" s="72"/>
      <c r="AH38" s="72"/>
      <c r="AI38" s="72"/>
    </row>
    <row r="39" spans="1:35" ht="15" x14ac:dyDescent="0.25">
      <c r="A39" s="72"/>
      <c r="B39" s="72"/>
      <c r="G39" s="72"/>
      <c r="H39" s="72">
        <v>1350</v>
      </c>
      <c r="S39" s="72"/>
      <c r="T39" s="72"/>
      <c r="U39" s="73" t="s">
        <v>60</v>
      </c>
      <c r="AH39" s="134">
        <f>SUM(AH4:AH38)</f>
        <v>354</v>
      </c>
      <c r="AI39" s="134">
        <f>SUM(AI4:AI38)</f>
        <v>354</v>
      </c>
    </row>
    <row r="40" spans="1:35" x14ac:dyDescent="0.25">
      <c r="A40" s="72"/>
      <c r="B40" s="72"/>
      <c r="G40" s="72"/>
      <c r="H40" s="72">
        <v>4976.0600000000004</v>
      </c>
      <c r="S40" s="72"/>
      <c r="T40" s="72"/>
    </row>
    <row r="41" spans="1:35" x14ac:dyDescent="0.25">
      <c r="A41" s="72"/>
      <c r="B41" s="72"/>
      <c r="G41" s="72"/>
      <c r="H41" s="72">
        <v>4165</v>
      </c>
      <c r="S41" s="72"/>
      <c r="T41" s="72"/>
    </row>
    <row r="42" spans="1:35" x14ac:dyDescent="0.25">
      <c r="A42" s="72"/>
      <c r="B42" s="72"/>
      <c r="G42" s="72"/>
      <c r="H42" s="72">
        <v>2896</v>
      </c>
      <c r="S42" s="74">
        <f>SUM(S4:S41)</f>
        <v>117240</v>
      </c>
      <c r="T42" s="74">
        <f>SUM(T4:T41)</f>
        <v>98195</v>
      </c>
    </row>
    <row r="43" spans="1:35" x14ac:dyDescent="0.25">
      <c r="A43" s="72"/>
      <c r="B43" s="72"/>
      <c r="G43" s="72"/>
      <c r="H43" s="72">
        <v>4850</v>
      </c>
    </row>
    <row r="44" spans="1:35" x14ac:dyDescent="0.25">
      <c r="A44" s="72"/>
      <c r="B44" s="72"/>
      <c r="G44" s="72"/>
      <c r="H44" s="72">
        <v>2000</v>
      </c>
    </row>
    <row r="45" spans="1:35" x14ac:dyDescent="0.25">
      <c r="A45" s="72"/>
      <c r="B45" s="72"/>
      <c r="G45" s="72"/>
      <c r="H45" s="72">
        <v>1500</v>
      </c>
      <c r="AH45" s="73">
        <f>SUM(AH17:AH20)</f>
        <v>0</v>
      </c>
      <c r="AI45" s="73">
        <f>SUM(AI19:AI21)</f>
        <v>0</v>
      </c>
    </row>
    <row r="46" spans="1:35" x14ac:dyDescent="0.25">
      <c r="A46" s="72"/>
      <c r="B46" s="72"/>
      <c r="G46" s="72"/>
      <c r="H46" s="72">
        <v>680</v>
      </c>
    </row>
    <row r="47" spans="1:35" x14ac:dyDescent="0.25">
      <c r="A47" s="72"/>
      <c r="B47" s="72"/>
      <c r="G47" s="72"/>
      <c r="H47" s="72">
        <v>2400</v>
      </c>
    </row>
    <row r="48" spans="1:35" x14ac:dyDescent="0.25">
      <c r="A48" s="72"/>
      <c r="B48" s="72"/>
      <c r="G48" s="72"/>
      <c r="H48" s="72">
        <v>10140</v>
      </c>
    </row>
    <row r="49" spans="1:8" x14ac:dyDescent="0.25">
      <c r="A49" s="72"/>
      <c r="B49" s="72"/>
      <c r="G49" s="72"/>
      <c r="H49" s="72">
        <v>15000</v>
      </c>
    </row>
    <row r="50" spans="1:8" x14ac:dyDescent="0.25">
      <c r="A50" s="72"/>
      <c r="B50" s="72"/>
      <c r="G50" s="72"/>
      <c r="H50" s="72">
        <v>7444.9</v>
      </c>
    </row>
    <row r="51" spans="1:8" x14ac:dyDescent="0.25">
      <c r="A51" s="72"/>
      <c r="B51" s="72"/>
      <c r="G51" s="72"/>
      <c r="H51" s="72">
        <v>3220</v>
      </c>
    </row>
    <row r="52" spans="1:8" x14ac:dyDescent="0.25">
      <c r="A52" s="72"/>
      <c r="B52" s="72"/>
      <c r="G52" s="72"/>
      <c r="H52" s="72">
        <v>1650</v>
      </c>
    </row>
    <row r="53" spans="1:8" x14ac:dyDescent="0.25">
      <c r="A53" s="72"/>
      <c r="B53" s="72"/>
      <c r="G53" s="72"/>
      <c r="H53" s="72">
        <v>4575</v>
      </c>
    </row>
    <row r="54" spans="1:8" x14ac:dyDescent="0.25">
      <c r="A54" s="72"/>
      <c r="B54" s="72"/>
      <c r="G54" s="72"/>
      <c r="H54" s="72">
        <v>6200</v>
      </c>
    </row>
    <row r="55" spans="1:8" x14ac:dyDescent="0.25">
      <c r="A55" s="72"/>
      <c r="B55" s="72"/>
      <c r="G55" s="72"/>
      <c r="H55" s="72">
        <v>620</v>
      </c>
    </row>
    <row r="56" spans="1:8" x14ac:dyDescent="0.25">
      <c r="A56" s="72"/>
      <c r="B56" s="72"/>
      <c r="G56" s="72"/>
      <c r="H56" s="72">
        <v>2811</v>
      </c>
    </row>
    <row r="57" spans="1:8" x14ac:dyDescent="0.25">
      <c r="A57" s="72"/>
      <c r="B57" s="72"/>
      <c r="G57" s="72"/>
      <c r="H57" s="72">
        <v>1760</v>
      </c>
    </row>
    <row r="58" spans="1:8" x14ac:dyDescent="0.25">
      <c r="A58" s="72"/>
      <c r="B58" s="72"/>
      <c r="G58" s="72"/>
      <c r="H58" s="72">
        <v>968</v>
      </c>
    </row>
    <row r="59" spans="1:8" x14ac:dyDescent="0.25">
      <c r="A59" s="72"/>
      <c r="B59" s="72"/>
      <c r="G59" s="72"/>
      <c r="H59" s="72">
        <v>720</v>
      </c>
    </row>
    <row r="60" spans="1:8" x14ac:dyDescent="0.25">
      <c r="A60" s="72"/>
      <c r="B60" s="72"/>
      <c r="G60" s="72"/>
      <c r="H60" s="72">
        <v>4740</v>
      </c>
    </row>
    <row r="61" spans="1:8" x14ac:dyDescent="0.25">
      <c r="A61" s="72"/>
      <c r="B61" s="72"/>
      <c r="G61" s="72"/>
      <c r="H61" s="72">
        <v>1823</v>
      </c>
    </row>
    <row r="62" spans="1:8" x14ac:dyDescent="0.25">
      <c r="A62" s="72"/>
      <c r="B62" s="72"/>
      <c r="G62" s="72"/>
      <c r="H62" s="72">
        <v>3102</v>
      </c>
    </row>
    <row r="63" spans="1:8" x14ac:dyDescent="0.25">
      <c r="A63" s="72"/>
      <c r="B63" s="72"/>
      <c r="G63" s="72"/>
      <c r="H63" s="72">
        <v>2790</v>
      </c>
    </row>
    <row r="64" spans="1:8" x14ac:dyDescent="0.25">
      <c r="A64" s="72"/>
      <c r="B64" s="72"/>
      <c r="G64" s="72"/>
      <c r="H64" s="72">
        <v>540</v>
      </c>
    </row>
    <row r="65" spans="1:8" x14ac:dyDescent="0.25">
      <c r="A65" s="72"/>
      <c r="B65" s="72"/>
      <c r="G65" s="72"/>
      <c r="H65" s="72">
        <v>560</v>
      </c>
    </row>
    <row r="66" spans="1:8" x14ac:dyDescent="0.25">
      <c r="A66" s="72"/>
      <c r="B66" s="72"/>
      <c r="G66" s="72"/>
      <c r="H66" s="72">
        <v>4900</v>
      </c>
    </row>
    <row r="67" spans="1:8" x14ac:dyDescent="0.25">
      <c r="A67" s="72"/>
      <c r="B67" s="72"/>
      <c r="G67" s="72"/>
      <c r="H67" s="72">
        <v>1500</v>
      </c>
    </row>
    <row r="68" spans="1:8" x14ac:dyDescent="0.25">
      <c r="A68" s="72"/>
      <c r="B68" s="72"/>
      <c r="G68" s="72"/>
      <c r="H68" s="72">
        <v>2762</v>
      </c>
    </row>
    <row r="69" spans="1:8" x14ac:dyDescent="0.25">
      <c r="A69" s="72"/>
      <c r="B69" s="72"/>
      <c r="G69" s="72"/>
      <c r="H69" s="72">
        <v>4550</v>
      </c>
    </row>
    <row r="70" spans="1:8" x14ac:dyDescent="0.25">
      <c r="A70" s="72"/>
      <c r="B70" s="72"/>
      <c r="G70" s="72"/>
      <c r="H70" s="72">
        <v>8233.58</v>
      </c>
    </row>
    <row r="71" spans="1:8" x14ac:dyDescent="0.25">
      <c r="A71" s="72"/>
      <c r="B71" s="72"/>
      <c r="G71" s="72">
        <v>119600</v>
      </c>
      <c r="H71" s="72"/>
    </row>
    <row r="72" spans="1:8" x14ac:dyDescent="0.25">
      <c r="A72" s="72"/>
      <c r="B72" s="72"/>
      <c r="G72" s="72"/>
      <c r="H72" s="72">
        <v>4843.18</v>
      </c>
    </row>
    <row r="73" spans="1:8" x14ac:dyDescent="0.25">
      <c r="A73" s="72"/>
      <c r="B73" s="72"/>
      <c r="G73" s="72"/>
      <c r="H73" s="72"/>
    </row>
    <row r="74" spans="1:8" x14ac:dyDescent="0.25">
      <c r="A74" s="72"/>
      <c r="B74" s="72"/>
      <c r="G74" s="72"/>
      <c r="H74" s="72"/>
    </row>
    <row r="75" spans="1:8" x14ac:dyDescent="0.25">
      <c r="A75" s="72"/>
      <c r="B75" s="72"/>
      <c r="G75" s="72"/>
      <c r="H75" s="72"/>
    </row>
    <row r="76" spans="1:8" x14ac:dyDescent="0.25">
      <c r="A76" s="72"/>
      <c r="B76" s="72"/>
      <c r="G76" s="72"/>
      <c r="H76" s="72"/>
    </row>
    <row r="77" spans="1:8" x14ac:dyDescent="0.25">
      <c r="A77" s="72"/>
      <c r="B77" s="72"/>
      <c r="G77" s="72"/>
      <c r="H77" s="72"/>
    </row>
    <row r="78" spans="1:8" x14ac:dyDescent="0.25">
      <c r="A78" s="72"/>
      <c r="B78" s="72"/>
      <c r="G78" s="72"/>
      <c r="H78" s="72"/>
    </row>
    <row r="79" spans="1:8" x14ac:dyDescent="0.25">
      <c r="A79" s="74">
        <f>SUM(A4:A78)</f>
        <v>15363.25</v>
      </c>
      <c r="B79" s="74">
        <f>SUM(B4:B78)</f>
        <v>35000</v>
      </c>
      <c r="G79" s="72"/>
      <c r="H79" s="72"/>
    </row>
    <row r="80" spans="1:8" x14ac:dyDescent="0.25">
      <c r="G80" s="72"/>
      <c r="H80" s="72"/>
    </row>
    <row r="81" spans="7:8" x14ac:dyDescent="0.25">
      <c r="G81" s="72"/>
      <c r="H81" s="72"/>
    </row>
    <row r="82" spans="7:8" x14ac:dyDescent="0.25">
      <c r="G82" s="72"/>
      <c r="H82" s="72"/>
    </row>
    <row r="83" spans="7:8" x14ac:dyDescent="0.25">
      <c r="G83" s="72"/>
      <c r="H83" s="72"/>
    </row>
    <row r="84" spans="7:8" x14ac:dyDescent="0.25">
      <c r="G84" s="72"/>
      <c r="H84" s="72"/>
    </row>
    <row r="85" spans="7:8" x14ac:dyDescent="0.25">
      <c r="G85" s="72"/>
      <c r="H85" s="72"/>
    </row>
    <row r="86" spans="7:8" x14ac:dyDescent="0.25">
      <c r="G86" s="72"/>
      <c r="H86" s="72"/>
    </row>
    <row r="87" spans="7:8" x14ac:dyDescent="0.25">
      <c r="G87" s="72"/>
      <c r="H87" s="72"/>
    </row>
    <row r="88" spans="7:8" x14ac:dyDescent="0.25">
      <c r="G88" s="72"/>
      <c r="H88" s="72"/>
    </row>
    <row r="89" spans="7:8" x14ac:dyDescent="0.25">
      <c r="G89" s="72"/>
      <c r="H89" s="72"/>
    </row>
    <row r="90" spans="7:8" x14ac:dyDescent="0.25">
      <c r="G90" s="72"/>
      <c r="H90" s="72"/>
    </row>
    <row r="91" spans="7:8" x14ac:dyDescent="0.25">
      <c r="G91" s="72"/>
      <c r="H91" s="72"/>
    </row>
    <row r="92" spans="7:8" x14ac:dyDescent="0.25">
      <c r="G92" s="72"/>
      <c r="H92" s="72"/>
    </row>
    <row r="93" spans="7:8" x14ac:dyDescent="0.25">
      <c r="G93" s="72"/>
      <c r="H93" s="72"/>
    </row>
    <row r="94" spans="7:8" x14ac:dyDescent="0.25">
      <c r="G94" s="72"/>
      <c r="H94" s="72"/>
    </row>
    <row r="95" spans="7:8" x14ac:dyDescent="0.25">
      <c r="G95" s="72"/>
      <c r="H95" s="72"/>
    </row>
    <row r="96" spans="7:8" x14ac:dyDescent="0.25">
      <c r="G96" s="72"/>
      <c r="H96" s="72"/>
    </row>
    <row r="97" spans="7:8" x14ac:dyDescent="0.25">
      <c r="G97" s="72"/>
      <c r="H97" s="72"/>
    </row>
    <row r="98" spans="7:8" x14ac:dyDescent="0.25">
      <c r="G98" s="72"/>
      <c r="H98" s="72"/>
    </row>
    <row r="99" spans="7:8" x14ac:dyDescent="0.25">
      <c r="G99" s="72"/>
      <c r="H99" s="72"/>
    </row>
    <row r="100" spans="7:8" x14ac:dyDescent="0.25">
      <c r="G100" s="72"/>
      <c r="H100" s="72"/>
    </row>
    <row r="101" spans="7:8" x14ac:dyDescent="0.25">
      <c r="G101" s="72"/>
      <c r="H101" s="72"/>
    </row>
    <row r="102" spans="7:8" x14ac:dyDescent="0.25">
      <c r="G102" s="72"/>
      <c r="H102" s="72"/>
    </row>
    <row r="103" spans="7:8" x14ac:dyDescent="0.25">
      <c r="G103" s="72"/>
      <c r="H103" s="72"/>
    </row>
    <row r="104" spans="7:8" x14ac:dyDescent="0.25">
      <c r="G104" s="72"/>
      <c r="H104" s="72"/>
    </row>
    <row r="105" spans="7:8" x14ac:dyDescent="0.25">
      <c r="G105" s="72"/>
      <c r="H105" s="72"/>
    </row>
    <row r="106" spans="7:8" x14ac:dyDescent="0.25">
      <c r="G106" s="72"/>
      <c r="H106" s="72"/>
    </row>
    <row r="107" spans="7:8" x14ac:dyDescent="0.25">
      <c r="G107" s="72"/>
      <c r="H107" s="72"/>
    </row>
    <row r="108" spans="7:8" x14ac:dyDescent="0.25">
      <c r="G108" s="72"/>
      <c r="H108" s="72"/>
    </row>
    <row r="109" spans="7:8" x14ac:dyDescent="0.25">
      <c r="G109" s="72"/>
      <c r="H109" s="72"/>
    </row>
    <row r="110" spans="7:8" x14ac:dyDescent="0.25">
      <c r="G110" s="72"/>
      <c r="H110" s="72"/>
    </row>
    <row r="111" spans="7:8" x14ac:dyDescent="0.25">
      <c r="G111" s="72"/>
      <c r="H111" s="72"/>
    </row>
    <row r="112" spans="7:8" x14ac:dyDescent="0.25">
      <c r="G112" s="72"/>
      <c r="H112" s="72"/>
    </row>
    <row r="113" spans="7:8" x14ac:dyDescent="0.25">
      <c r="G113" s="72"/>
      <c r="H113" s="72"/>
    </row>
    <row r="114" spans="7:8" x14ac:dyDescent="0.25">
      <c r="G114" s="72"/>
      <c r="H114" s="72"/>
    </row>
    <row r="115" spans="7:8" x14ac:dyDescent="0.25">
      <c r="G115" s="72"/>
      <c r="H115" s="72"/>
    </row>
    <row r="116" spans="7:8" x14ac:dyDescent="0.25">
      <c r="G116" s="72"/>
      <c r="H116" s="72"/>
    </row>
    <row r="117" spans="7:8" x14ac:dyDescent="0.25">
      <c r="G117" s="72"/>
      <c r="H117" s="72"/>
    </row>
    <row r="118" spans="7:8" x14ac:dyDescent="0.25">
      <c r="G118" s="72"/>
      <c r="H118" s="72"/>
    </row>
    <row r="119" spans="7:8" x14ac:dyDescent="0.25">
      <c r="G119" s="72"/>
      <c r="H119" s="72"/>
    </row>
    <row r="120" spans="7:8" x14ac:dyDescent="0.25">
      <c r="G120" s="72"/>
      <c r="H120" s="72"/>
    </row>
    <row r="121" spans="7:8" x14ac:dyDescent="0.25">
      <c r="G121" s="72"/>
      <c r="H121" s="72"/>
    </row>
    <row r="122" spans="7:8" x14ac:dyDescent="0.25">
      <c r="G122" s="72"/>
      <c r="H122" s="72"/>
    </row>
    <row r="123" spans="7:8" x14ac:dyDescent="0.25">
      <c r="G123" s="72"/>
      <c r="H123" s="72"/>
    </row>
    <row r="124" spans="7:8" x14ac:dyDescent="0.25">
      <c r="G124" s="72"/>
      <c r="H124" s="72"/>
    </row>
    <row r="125" spans="7:8" x14ac:dyDescent="0.25">
      <c r="G125" s="72"/>
      <c r="H125" s="72"/>
    </row>
    <row r="126" spans="7:8" x14ac:dyDescent="0.25">
      <c r="G126" s="72"/>
      <c r="H126" s="72"/>
    </row>
    <row r="127" spans="7:8" x14ac:dyDescent="0.25">
      <c r="G127" s="72">
        <f>SUM(G4:G126)</f>
        <v>372140</v>
      </c>
      <c r="H127" s="72">
        <f>SUM(H4:H126)</f>
        <v>257692.84999999998</v>
      </c>
    </row>
  </sheetData>
  <mergeCells count="48">
    <mergeCell ref="AT2:AT3"/>
    <mergeCell ref="AU2:AU3"/>
    <mergeCell ref="AV3:AV11"/>
    <mergeCell ref="AN2:AN3"/>
    <mergeCell ref="AO2:AO3"/>
    <mergeCell ref="AP3:AP11"/>
    <mergeCell ref="AQ2:AQ3"/>
    <mergeCell ref="AR2:AR3"/>
    <mergeCell ref="AS3:AS11"/>
    <mergeCell ref="AK2:AK3"/>
    <mergeCell ref="AL2:AL3"/>
    <mergeCell ref="AM3:AM11"/>
    <mergeCell ref="AH2:AH3"/>
    <mergeCell ref="AI2:AI3"/>
    <mergeCell ref="AJ3:AJ11"/>
    <mergeCell ref="AA3:AA11"/>
    <mergeCell ref="AE2:AE3"/>
    <mergeCell ref="AF2:AF3"/>
    <mergeCell ref="AG3:AG11"/>
    <mergeCell ref="N2:N3"/>
    <mergeCell ref="U3:U11"/>
    <mergeCell ref="X3:X11"/>
    <mergeCell ref="AD3:AD11"/>
    <mergeCell ref="O3:O11"/>
    <mergeCell ref="V2:V3"/>
    <mergeCell ref="W2:W3"/>
    <mergeCell ref="Y2:Y3"/>
    <mergeCell ref="Z2:Z3"/>
    <mergeCell ref="AB2:AB3"/>
    <mergeCell ref="AC2:AC3"/>
    <mergeCell ref="T2:T3"/>
    <mergeCell ref="H2:H3"/>
    <mergeCell ref="J2:J3"/>
    <mergeCell ref="K2:K3"/>
    <mergeCell ref="M2:M3"/>
    <mergeCell ref="I3:I11"/>
    <mergeCell ref="A2:A3"/>
    <mergeCell ref="B2:B3"/>
    <mergeCell ref="D2:D3"/>
    <mergeCell ref="E2:E3"/>
    <mergeCell ref="G2:G3"/>
    <mergeCell ref="C3:C11"/>
    <mergeCell ref="F3:F11"/>
    <mergeCell ref="L3:L11"/>
    <mergeCell ref="P2:P3"/>
    <mergeCell ref="Q2:Q3"/>
    <mergeCell ref="S2:S3"/>
    <mergeCell ref="R3:R1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9CFB-5507-4345-8D0E-08D0E84D11E7}">
  <dimension ref="A2:S63"/>
  <sheetViews>
    <sheetView topLeftCell="A52" zoomScale="80" zoomScaleNormal="80" workbookViewId="0">
      <selection activeCell="J58" sqref="J58"/>
    </sheetView>
  </sheetViews>
  <sheetFormatPr defaultColWidth="9" defaultRowHeight="18.75" x14ac:dyDescent="0.3"/>
  <cols>
    <col min="1" max="1" width="3.7109375" style="36" bestFit="1" customWidth="1"/>
    <col min="2" max="2" width="21.28515625" style="40" customWidth="1"/>
    <col min="3" max="3" width="6.42578125" style="36" bestFit="1" customWidth="1"/>
    <col min="4" max="17" width="20.7109375" style="37" customWidth="1"/>
    <col min="18" max="18" width="9" style="36"/>
    <col min="19" max="19" width="10.140625" style="36" bestFit="1" customWidth="1"/>
    <col min="20" max="16384" width="9" style="36"/>
  </cols>
  <sheetData>
    <row r="2" spans="1:19" x14ac:dyDescent="0.3">
      <c r="A2" s="28"/>
      <c r="B2" s="29" t="s">
        <v>41</v>
      </c>
      <c r="C2" s="30"/>
      <c r="D2" s="31" t="s">
        <v>54</v>
      </c>
      <c r="E2" s="31" t="s">
        <v>55</v>
      </c>
      <c r="F2" s="31" t="s">
        <v>56</v>
      </c>
      <c r="G2" s="31" t="s">
        <v>57</v>
      </c>
      <c r="H2" s="31" t="s">
        <v>58</v>
      </c>
      <c r="I2" s="31" t="s">
        <v>59</v>
      </c>
      <c r="J2" s="31" t="s">
        <v>4</v>
      </c>
      <c r="K2" s="31" t="s">
        <v>221</v>
      </c>
      <c r="L2" s="31" t="s">
        <v>222</v>
      </c>
      <c r="M2" s="31" t="s">
        <v>223</v>
      </c>
      <c r="N2" s="31" t="s">
        <v>224</v>
      </c>
      <c r="O2" s="31" t="s">
        <v>225</v>
      </c>
      <c r="P2" s="31" t="s">
        <v>226</v>
      </c>
      <c r="Q2" s="31" t="s">
        <v>4</v>
      </c>
    </row>
    <row r="3" spans="1:19" x14ac:dyDescent="0.3">
      <c r="A3" s="28">
        <v>1</v>
      </c>
      <c r="B3" s="32">
        <v>3610400224673</v>
      </c>
      <c r="C3" s="33" t="s">
        <v>42</v>
      </c>
      <c r="D3" s="35">
        <v>54760</v>
      </c>
      <c r="E3" s="35">
        <v>57980</v>
      </c>
      <c r="F3" s="35">
        <v>56370</v>
      </c>
      <c r="G3" s="35">
        <v>56370</v>
      </c>
      <c r="H3" s="35">
        <v>56370</v>
      </c>
      <c r="I3" s="35">
        <v>56370</v>
      </c>
      <c r="J3" s="43">
        <f>SUM(D3:I3)</f>
        <v>338220</v>
      </c>
      <c r="K3" s="35">
        <v>56370</v>
      </c>
      <c r="L3" s="35">
        <v>56370</v>
      </c>
      <c r="M3" s="35">
        <v>61110</v>
      </c>
      <c r="N3" s="35">
        <v>57950</v>
      </c>
      <c r="O3" s="35">
        <v>57950</v>
      </c>
      <c r="P3" s="35">
        <v>57950</v>
      </c>
      <c r="Q3" s="43">
        <f>SUM(K3:P3)</f>
        <v>347700</v>
      </c>
    </row>
    <row r="4" spans="1:19" x14ac:dyDescent="0.3">
      <c r="A4" s="28">
        <v>2</v>
      </c>
      <c r="B4" s="32">
        <v>3610400253258</v>
      </c>
      <c r="C4" s="34" t="s">
        <v>43</v>
      </c>
      <c r="D4" s="35">
        <v>79090</v>
      </c>
      <c r="E4" s="35">
        <v>82552.960000000006</v>
      </c>
      <c r="F4" s="35">
        <v>80821.48</v>
      </c>
      <c r="G4" s="35">
        <v>80821.48</v>
      </c>
      <c r="H4" s="35">
        <v>80821.48</v>
      </c>
      <c r="I4" s="35">
        <v>80821.48</v>
      </c>
      <c r="J4" s="43">
        <f t="shared" ref="J4:J14" si="0">SUM(D4:I4)</f>
        <v>484928.87999999995</v>
      </c>
      <c r="K4" s="35">
        <v>80240</v>
      </c>
      <c r="L4" s="35">
        <v>80240</v>
      </c>
      <c r="M4" s="35">
        <v>84679.7</v>
      </c>
      <c r="N4" s="35">
        <v>81719.899999999994</v>
      </c>
      <c r="O4" s="35">
        <v>81719.899999999994</v>
      </c>
      <c r="P4" s="35">
        <v>81719.899999999994</v>
      </c>
      <c r="Q4" s="43">
        <f t="shared" ref="Q4:Q14" si="1">SUM(K4:P4)</f>
        <v>490319.4</v>
      </c>
    </row>
    <row r="5" spans="1:19" x14ac:dyDescent="0.3">
      <c r="A5" s="28">
        <v>3</v>
      </c>
      <c r="B5" s="32">
        <v>3610400272708</v>
      </c>
      <c r="C5" s="34" t="s">
        <v>44</v>
      </c>
      <c r="D5" s="35">
        <v>76120</v>
      </c>
      <c r="E5" s="35">
        <v>79140</v>
      </c>
      <c r="F5" s="35">
        <v>77630</v>
      </c>
      <c r="G5" s="35">
        <v>77630</v>
      </c>
      <c r="H5" s="35">
        <v>77630</v>
      </c>
      <c r="I5" s="35">
        <v>77630</v>
      </c>
      <c r="J5" s="43">
        <f t="shared" si="0"/>
        <v>465780</v>
      </c>
      <c r="K5" s="35">
        <v>77630</v>
      </c>
      <c r="L5" s="35">
        <v>77630</v>
      </c>
      <c r="M5" s="35">
        <v>82700</v>
      </c>
      <c r="N5" s="35">
        <v>79320</v>
      </c>
      <c r="O5" s="35">
        <v>79320</v>
      </c>
      <c r="P5" s="35">
        <v>79320</v>
      </c>
      <c r="Q5" s="43">
        <f t="shared" si="1"/>
        <v>475920</v>
      </c>
    </row>
    <row r="6" spans="1:19" x14ac:dyDescent="0.3">
      <c r="A6" s="28">
        <v>5</v>
      </c>
      <c r="B6" s="32">
        <v>3610500024391</v>
      </c>
      <c r="C6" s="34" t="s">
        <v>45</v>
      </c>
      <c r="D6" s="35">
        <v>78880</v>
      </c>
      <c r="E6" s="35">
        <v>81839.8</v>
      </c>
      <c r="F6" s="35">
        <v>80359.899999999994</v>
      </c>
      <c r="G6" s="35">
        <v>80359.899999999994</v>
      </c>
      <c r="H6" s="35">
        <v>80359.899999999994</v>
      </c>
      <c r="I6" s="35">
        <v>80359.899999999994</v>
      </c>
      <c r="J6" s="43">
        <f t="shared" si="0"/>
        <v>482159.4</v>
      </c>
      <c r="K6" s="35">
        <v>80240</v>
      </c>
      <c r="L6" s="35">
        <v>80240</v>
      </c>
      <c r="M6" s="35">
        <v>85271.66</v>
      </c>
      <c r="N6" s="35">
        <v>81917.22</v>
      </c>
      <c r="O6" s="35">
        <v>81917.22</v>
      </c>
      <c r="P6" s="35">
        <v>81917.22</v>
      </c>
      <c r="Q6" s="43">
        <f t="shared" si="1"/>
        <v>491503.31999999995</v>
      </c>
    </row>
    <row r="7" spans="1:19" x14ac:dyDescent="0.3">
      <c r="A7" s="28">
        <v>6</v>
      </c>
      <c r="B7" s="32">
        <v>3610500109671</v>
      </c>
      <c r="C7" s="34" t="s">
        <v>46</v>
      </c>
      <c r="D7" s="35">
        <v>66640</v>
      </c>
      <c r="E7" s="35">
        <v>70120</v>
      </c>
      <c r="F7" s="35">
        <v>68380</v>
      </c>
      <c r="G7" s="35">
        <v>68380</v>
      </c>
      <c r="H7" s="35">
        <v>68380</v>
      </c>
      <c r="I7" s="35">
        <v>68380</v>
      </c>
      <c r="J7" s="43">
        <f t="shared" si="0"/>
        <v>410280</v>
      </c>
      <c r="K7" s="35">
        <v>68380</v>
      </c>
      <c r="L7" s="35">
        <v>68380</v>
      </c>
      <c r="M7" s="35">
        <v>72910</v>
      </c>
      <c r="N7" s="35">
        <v>69890</v>
      </c>
      <c r="O7" s="35">
        <v>69890</v>
      </c>
      <c r="P7" s="35">
        <v>69890</v>
      </c>
      <c r="Q7" s="43">
        <f t="shared" si="1"/>
        <v>419340</v>
      </c>
    </row>
    <row r="8" spans="1:19" x14ac:dyDescent="0.3">
      <c r="A8" s="28">
        <v>7</v>
      </c>
      <c r="B8" s="32">
        <v>3610200328211</v>
      </c>
      <c r="C8" s="34" t="s">
        <v>47</v>
      </c>
      <c r="D8" s="35">
        <v>56270</v>
      </c>
      <c r="E8" s="35">
        <v>59750</v>
      </c>
      <c r="F8" s="35">
        <v>58010</v>
      </c>
      <c r="G8" s="35">
        <v>58010</v>
      </c>
      <c r="H8" s="35">
        <v>58010</v>
      </c>
      <c r="I8" s="35">
        <v>58010</v>
      </c>
      <c r="J8" s="43">
        <f t="shared" si="0"/>
        <v>348060</v>
      </c>
      <c r="K8" s="35">
        <v>58010</v>
      </c>
      <c r="L8" s="35">
        <v>58010</v>
      </c>
      <c r="M8" s="35">
        <v>62450</v>
      </c>
      <c r="N8" s="35">
        <v>59490</v>
      </c>
      <c r="O8" s="35">
        <v>59490</v>
      </c>
      <c r="P8" s="35">
        <v>59490</v>
      </c>
      <c r="Q8" s="43">
        <f t="shared" si="1"/>
        <v>356940</v>
      </c>
    </row>
    <row r="9" spans="1:19" x14ac:dyDescent="0.3">
      <c r="A9" s="28">
        <v>8</v>
      </c>
      <c r="B9" s="32">
        <v>3100503688812</v>
      </c>
      <c r="C9" s="34" t="s">
        <v>48</v>
      </c>
      <c r="D9" s="35">
        <v>53850</v>
      </c>
      <c r="E9" s="35">
        <v>57330</v>
      </c>
      <c r="F9" s="35">
        <v>55590</v>
      </c>
      <c r="G9" s="35">
        <v>55590</v>
      </c>
      <c r="H9" s="35">
        <v>55590</v>
      </c>
      <c r="I9" s="35">
        <v>55590</v>
      </c>
      <c r="J9" s="43">
        <f t="shared" si="0"/>
        <v>333540</v>
      </c>
      <c r="K9" s="35">
        <v>55590</v>
      </c>
      <c r="L9" s="35">
        <v>55590</v>
      </c>
      <c r="M9" s="35">
        <v>60030</v>
      </c>
      <c r="N9" s="35">
        <v>57070</v>
      </c>
      <c r="O9" s="35">
        <v>57070</v>
      </c>
      <c r="P9" s="35">
        <v>57070</v>
      </c>
      <c r="Q9" s="43">
        <f t="shared" si="1"/>
        <v>342420</v>
      </c>
    </row>
    <row r="10" spans="1:19" x14ac:dyDescent="0.3">
      <c r="A10" s="28">
        <v>9</v>
      </c>
      <c r="B10" s="32">
        <v>3610500159091</v>
      </c>
      <c r="C10" s="34" t="s">
        <v>49</v>
      </c>
      <c r="D10" s="35">
        <v>56230</v>
      </c>
      <c r="E10" s="35">
        <v>59710</v>
      </c>
      <c r="F10" s="35">
        <v>57970</v>
      </c>
      <c r="G10" s="35">
        <v>57970</v>
      </c>
      <c r="H10" s="35">
        <v>57970</v>
      </c>
      <c r="I10" s="35">
        <v>57970</v>
      </c>
      <c r="J10" s="43">
        <f t="shared" si="0"/>
        <v>347820</v>
      </c>
      <c r="K10" s="35">
        <v>57970</v>
      </c>
      <c r="L10" s="35">
        <v>57970</v>
      </c>
      <c r="M10" s="35">
        <v>62410</v>
      </c>
      <c r="N10" s="35">
        <v>59450</v>
      </c>
      <c r="O10" s="35">
        <v>59450</v>
      </c>
      <c r="P10" s="35">
        <v>59450</v>
      </c>
      <c r="Q10" s="43">
        <f t="shared" si="1"/>
        <v>356700</v>
      </c>
    </row>
    <row r="11" spans="1:19" x14ac:dyDescent="0.3">
      <c r="A11" s="28">
        <v>10</v>
      </c>
      <c r="B11" s="32">
        <v>1610600135741</v>
      </c>
      <c r="C11" s="34" t="s">
        <v>50</v>
      </c>
      <c r="D11" s="35">
        <v>21280</v>
      </c>
      <c r="E11" s="35">
        <v>22700</v>
      </c>
      <c r="F11" s="35">
        <v>21990</v>
      </c>
      <c r="G11" s="35">
        <v>21990</v>
      </c>
      <c r="H11" s="35">
        <v>21990</v>
      </c>
      <c r="I11" s="35">
        <v>21990</v>
      </c>
      <c r="J11" s="43">
        <f t="shared" si="0"/>
        <v>131940</v>
      </c>
      <c r="K11" s="35">
        <v>21990</v>
      </c>
      <c r="L11" s="35">
        <v>21990</v>
      </c>
      <c r="M11" s="35">
        <v>24360</v>
      </c>
      <c r="N11" s="35">
        <v>25720</v>
      </c>
      <c r="O11" s="35">
        <v>25720</v>
      </c>
      <c r="P11" s="35">
        <v>25720</v>
      </c>
      <c r="Q11" s="43">
        <f t="shared" si="1"/>
        <v>145500</v>
      </c>
    </row>
    <row r="12" spans="1:19" x14ac:dyDescent="0.3">
      <c r="A12" s="28">
        <v>11</v>
      </c>
      <c r="B12" s="32">
        <v>1619900117517</v>
      </c>
      <c r="C12" s="34" t="s">
        <v>51</v>
      </c>
      <c r="D12" s="35">
        <v>18680</v>
      </c>
      <c r="E12" s="35">
        <v>20080</v>
      </c>
      <c r="F12" s="35">
        <v>19380</v>
      </c>
      <c r="G12" s="35">
        <v>19380</v>
      </c>
      <c r="H12" s="35">
        <v>19380</v>
      </c>
      <c r="I12" s="35">
        <v>19380</v>
      </c>
      <c r="J12" s="43">
        <f t="shared" si="0"/>
        <v>116280</v>
      </c>
      <c r="K12" s="35">
        <v>19380</v>
      </c>
      <c r="L12" s="35">
        <v>19380</v>
      </c>
      <c r="M12" s="35">
        <v>21750</v>
      </c>
      <c r="N12" s="35">
        <v>24310</v>
      </c>
      <c r="O12" s="35">
        <v>21550</v>
      </c>
      <c r="P12" s="35">
        <v>21550</v>
      </c>
      <c r="Q12" s="43">
        <f t="shared" si="1"/>
        <v>127920</v>
      </c>
    </row>
    <row r="13" spans="1:19" x14ac:dyDescent="0.3">
      <c r="A13" s="28">
        <v>12</v>
      </c>
      <c r="B13" s="32">
        <v>1619900176173</v>
      </c>
      <c r="C13" s="38" t="s">
        <v>52</v>
      </c>
      <c r="D13" s="35">
        <v>15800</v>
      </c>
      <c r="E13" s="35">
        <v>15800</v>
      </c>
      <c r="F13" s="35">
        <v>15800</v>
      </c>
      <c r="G13" s="35">
        <v>15800</v>
      </c>
      <c r="H13" s="35">
        <v>15800</v>
      </c>
      <c r="I13" s="35">
        <v>15800</v>
      </c>
      <c r="J13" s="43">
        <f t="shared" si="0"/>
        <v>94800</v>
      </c>
      <c r="K13" s="35">
        <v>15800</v>
      </c>
      <c r="L13" s="35">
        <v>15800</v>
      </c>
      <c r="M13" s="35">
        <v>17630</v>
      </c>
      <c r="N13" s="35">
        <v>21150</v>
      </c>
      <c r="O13" s="35">
        <v>17990</v>
      </c>
      <c r="P13" s="35">
        <v>17990</v>
      </c>
      <c r="Q13" s="43">
        <f t="shared" si="1"/>
        <v>106360</v>
      </c>
    </row>
    <row r="14" spans="1:19" x14ac:dyDescent="0.3">
      <c r="A14" s="28">
        <v>13</v>
      </c>
      <c r="B14" s="32">
        <v>1100702961148</v>
      </c>
      <c r="C14" s="38" t="s">
        <v>53</v>
      </c>
      <c r="D14" s="35"/>
      <c r="E14" s="35"/>
      <c r="F14" s="35"/>
      <c r="G14" s="35">
        <v>39500</v>
      </c>
      <c r="H14" s="35">
        <v>15800</v>
      </c>
      <c r="I14" s="35">
        <v>15800</v>
      </c>
      <c r="J14" s="43">
        <f t="shared" si="0"/>
        <v>71100</v>
      </c>
      <c r="K14" s="35">
        <v>15800</v>
      </c>
      <c r="L14" s="35">
        <v>15800</v>
      </c>
      <c r="M14" s="35">
        <v>17390</v>
      </c>
      <c r="N14" s="35">
        <v>21070</v>
      </c>
      <c r="O14" s="35">
        <v>17910</v>
      </c>
      <c r="P14" s="35">
        <v>17910</v>
      </c>
      <c r="Q14" s="43">
        <f t="shared" si="1"/>
        <v>105880</v>
      </c>
    </row>
    <row r="15" spans="1:19" x14ac:dyDescent="0.3">
      <c r="J15" s="44">
        <f>SUM(J3:J14)</f>
        <v>3624908.28</v>
      </c>
      <c r="Q15" s="44">
        <f>SUM(Q3:Q14)</f>
        <v>3766502.7199999997</v>
      </c>
      <c r="S15" s="36" t="s">
        <v>60</v>
      </c>
    </row>
    <row r="17" spans="1:17" x14ac:dyDescent="0.3">
      <c r="C17" s="39" t="s">
        <v>63</v>
      </c>
      <c r="D17" s="37">
        <v>15000</v>
      </c>
      <c r="E17" s="37">
        <v>15000</v>
      </c>
      <c r="F17" s="37">
        <v>15000</v>
      </c>
      <c r="G17" s="37">
        <v>15000</v>
      </c>
      <c r="H17" s="37">
        <v>15000</v>
      </c>
      <c r="I17" s="37">
        <v>15000</v>
      </c>
      <c r="J17" s="45">
        <f>SUM(D17:I17)</f>
        <v>90000</v>
      </c>
      <c r="K17" s="37">
        <v>15000</v>
      </c>
      <c r="L17" s="37">
        <v>15000</v>
      </c>
      <c r="M17" s="37">
        <v>15000</v>
      </c>
      <c r="N17" s="37">
        <v>15000</v>
      </c>
      <c r="O17" s="37">
        <v>15000</v>
      </c>
      <c r="P17" s="37">
        <v>15000</v>
      </c>
      <c r="Q17" s="37">
        <f>SUM(K17:P17)</f>
        <v>90000</v>
      </c>
    </row>
    <row r="18" spans="1:17" x14ac:dyDescent="0.3">
      <c r="C18" s="39" t="s">
        <v>64</v>
      </c>
      <c r="D18" s="37">
        <v>9000</v>
      </c>
      <c r="E18" s="37">
        <v>9000</v>
      </c>
      <c r="F18" s="37">
        <v>9000</v>
      </c>
      <c r="G18" s="37">
        <v>9000</v>
      </c>
      <c r="H18" s="37">
        <v>9000</v>
      </c>
      <c r="I18" s="37">
        <v>9000</v>
      </c>
      <c r="J18" s="45">
        <f>SUM(D18:I18)</f>
        <v>54000</v>
      </c>
      <c r="K18" s="37">
        <v>9000</v>
      </c>
      <c r="L18" s="37">
        <v>9000</v>
      </c>
      <c r="M18" s="37">
        <v>9000</v>
      </c>
      <c r="N18" s="37">
        <v>9000</v>
      </c>
      <c r="O18" s="37">
        <v>9000</v>
      </c>
      <c r="P18" s="37">
        <v>9000</v>
      </c>
      <c r="Q18" s="37">
        <f>SUM(K18:P18)</f>
        <v>54000</v>
      </c>
    </row>
    <row r="19" spans="1:17" x14ac:dyDescent="0.3">
      <c r="C19" s="39" t="s">
        <v>65</v>
      </c>
      <c r="D19" s="37">
        <v>9000</v>
      </c>
      <c r="E19" s="37">
        <v>9000</v>
      </c>
      <c r="F19" s="37">
        <v>9000</v>
      </c>
      <c r="G19" s="37">
        <v>9000</v>
      </c>
      <c r="H19" s="37">
        <v>9000</v>
      </c>
      <c r="I19" s="37">
        <v>9000</v>
      </c>
      <c r="J19" s="45">
        <f>SUM(D19:I19)</f>
        <v>54000</v>
      </c>
      <c r="K19" s="37">
        <v>9000</v>
      </c>
      <c r="L19" s="37">
        <v>9000</v>
      </c>
      <c r="M19" s="37">
        <v>9000</v>
      </c>
      <c r="N19" s="37">
        <v>9000</v>
      </c>
      <c r="O19" s="37">
        <v>9000</v>
      </c>
      <c r="P19" s="37">
        <v>9000</v>
      </c>
      <c r="Q19" s="37">
        <f>SUM(K19:P19)</f>
        <v>54000</v>
      </c>
    </row>
    <row r="20" spans="1:17" x14ac:dyDescent="0.3">
      <c r="C20" s="36" t="s">
        <v>61</v>
      </c>
      <c r="D20" s="37">
        <v>6000</v>
      </c>
      <c r="E20" s="37">
        <v>6000</v>
      </c>
      <c r="F20" s="37">
        <v>6000</v>
      </c>
      <c r="G20" s="37">
        <v>6000</v>
      </c>
      <c r="H20" s="37">
        <v>6000</v>
      </c>
      <c r="I20" s="37">
        <v>6000</v>
      </c>
      <c r="J20" s="45">
        <f>SUM(D20:I20)</f>
        <v>36000</v>
      </c>
      <c r="K20" s="37">
        <v>6000</v>
      </c>
      <c r="L20" s="37">
        <v>6000</v>
      </c>
      <c r="M20" s="37">
        <v>6000</v>
      </c>
      <c r="N20" s="37">
        <v>6000</v>
      </c>
      <c r="O20" s="37">
        <v>6000</v>
      </c>
      <c r="P20" s="37">
        <v>6000</v>
      </c>
      <c r="Q20" s="37">
        <f>SUM(K20:P20)</f>
        <v>36000</v>
      </c>
    </row>
    <row r="21" spans="1:17" x14ac:dyDescent="0.3">
      <c r="C21" s="36" t="s">
        <v>62</v>
      </c>
      <c r="D21" s="37">
        <v>6000</v>
      </c>
      <c r="E21" s="37">
        <v>6000</v>
      </c>
      <c r="F21" s="37">
        <v>6000</v>
      </c>
      <c r="G21" s="37">
        <v>6000</v>
      </c>
      <c r="H21" s="37">
        <v>6000</v>
      </c>
      <c r="I21" s="37">
        <v>6000</v>
      </c>
      <c r="J21" s="45">
        <f>SUM(D21:I21)</f>
        <v>36000</v>
      </c>
      <c r="K21" s="37">
        <v>6000</v>
      </c>
      <c r="L21" s="37">
        <v>6000</v>
      </c>
      <c r="M21" s="37">
        <v>6000</v>
      </c>
      <c r="N21" s="37">
        <v>6000</v>
      </c>
      <c r="O21" s="37">
        <v>6000</v>
      </c>
      <c r="P21" s="37">
        <v>6000</v>
      </c>
      <c r="Q21" s="37">
        <f>SUM(K21:P21)</f>
        <v>36000</v>
      </c>
    </row>
    <row r="23" spans="1:17" x14ac:dyDescent="0.3">
      <c r="A23" s="28"/>
      <c r="B23" s="29" t="s">
        <v>41</v>
      </c>
      <c r="C23" s="30"/>
      <c r="D23" s="31" t="s">
        <v>232</v>
      </c>
      <c r="E23" s="31" t="s">
        <v>233</v>
      </c>
      <c r="F23" s="31" t="s">
        <v>234</v>
      </c>
      <c r="G23" s="31" t="s">
        <v>235</v>
      </c>
      <c r="H23" s="31" t="s">
        <v>236</v>
      </c>
      <c r="I23" s="31" t="s">
        <v>237</v>
      </c>
      <c r="J23" s="31" t="s">
        <v>4</v>
      </c>
      <c r="K23" s="31" t="s">
        <v>238</v>
      </c>
      <c r="L23" s="31" t="s">
        <v>239</v>
      </c>
      <c r="M23" s="31" t="s">
        <v>240</v>
      </c>
      <c r="N23" s="31" t="s">
        <v>241</v>
      </c>
      <c r="O23" s="31" t="s">
        <v>242</v>
      </c>
      <c r="P23" s="31" t="s">
        <v>243</v>
      </c>
      <c r="Q23" s="31" t="s">
        <v>4</v>
      </c>
    </row>
    <row r="24" spans="1:17" x14ac:dyDescent="0.3">
      <c r="A24" s="28">
        <v>1</v>
      </c>
      <c r="B24" s="32">
        <v>3610400224673</v>
      </c>
      <c r="C24" s="33" t="s">
        <v>42</v>
      </c>
      <c r="D24" s="35">
        <v>57950</v>
      </c>
      <c r="E24" s="35">
        <v>61070</v>
      </c>
      <c r="F24" s="35">
        <v>59510</v>
      </c>
      <c r="G24" s="35">
        <v>59510</v>
      </c>
      <c r="H24" s="35">
        <v>59510</v>
      </c>
      <c r="I24" s="35">
        <v>59510</v>
      </c>
      <c r="J24" s="43">
        <f>SUM(D24:I24)</f>
        <v>357060</v>
      </c>
      <c r="K24" s="35">
        <v>59510</v>
      </c>
      <c r="L24" s="35">
        <v>62570</v>
      </c>
      <c r="M24" s="35">
        <v>61040</v>
      </c>
      <c r="N24" s="35">
        <v>61040</v>
      </c>
      <c r="O24" s="35">
        <v>61040</v>
      </c>
      <c r="P24" s="35">
        <v>61040</v>
      </c>
      <c r="Q24" s="43">
        <f>SUM(K24:P24)</f>
        <v>366240</v>
      </c>
    </row>
    <row r="25" spans="1:17" x14ac:dyDescent="0.3">
      <c r="A25" s="28">
        <v>2</v>
      </c>
      <c r="B25" s="32">
        <v>3610500109671</v>
      </c>
      <c r="C25" s="34" t="s">
        <v>46</v>
      </c>
      <c r="D25" s="35">
        <v>69890</v>
      </c>
      <c r="E25" s="35">
        <v>69890</v>
      </c>
      <c r="F25" s="35">
        <v>76550</v>
      </c>
      <c r="G25" s="35">
        <v>72110</v>
      </c>
      <c r="H25" s="35">
        <v>72110</v>
      </c>
      <c r="I25" s="35">
        <v>72110</v>
      </c>
      <c r="J25" s="43">
        <f t="shared" ref="J25:J34" si="2">SUM(D25:I25)</f>
        <v>432660</v>
      </c>
      <c r="K25" s="35">
        <v>72110</v>
      </c>
      <c r="L25" s="35">
        <v>72110</v>
      </c>
      <c r="M25" s="35">
        <v>76940</v>
      </c>
      <c r="N25" s="35">
        <v>73720</v>
      </c>
      <c r="O25" s="35">
        <v>73720</v>
      </c>
      <c r="P25" s="35">
        <v>73720</v>
      </c>
      <c r="Q25" s="43">
        <f t="shared" ref="Q25:Q34" si="3">SUM(K25:P25)</f>
        <v>442320</v>
      </c>
    </row>
    <row r="26" spans="1:17" x14ac:dyDescent="0.3">
      <c r="A26" s="28">
        <v>3</v>
      </c>
      <c r="B26" s="32">
        <v>3610200328211</v>
      </c>
      <c r="C26" s="34" t="s">
        <v>47</v>
      </c>
      <c r="D26" s="35">
        <v>59490</v>
      </c>
      <c r="E26" s="35">
        <v>59490</v>
      </c>
      <c r="F26" s="35">
        <v>66150</v>
      </c>
      <c r="G26" s="35">
        <v>61710</v>
      </c>
      <c r="H26" s="35">
        <v>61710</v>
      </c>
      <c r="I26" s="35">
        <v>61710</v>
      </c>
      <c r="J26" s="43">
        <f t="shared" si="2"/>
        <v>370260</v>
      </c>
      <c r="K26" s="35">
        <v>61710</v>
      </c>
      <c r="L26" s="35">
        <v>61710</v>
      </c>
      <c r="M26" s="35">
        <v>66180</v>
      </c>
      <c r="N26" s="35">
        <v>63200</v>
      </c>
      <c r="O26" s="35">
        <v>63200</v>
      </c>
      <c r="P26" s="35">
        <v>63200</v>
      </c>
      <c r="Q26" s="43">
        <f t="shared" si="3"/>
        <v>379200</v>
      </c>
    </row>
    <row r="27" spans="1:17" x14ac:dyDescent="0.3">
      <c r="A27" s="28">
        <v>4</v>
      </c>
      <c r="B27" s="32">
        <v>3610500159091</v>
      </c>
      <c r="C27" s="34" t="s">
        <v>49</v>
      </c>
      <c r="D27" s="35">
        <v>59450</v>
      </c>
      <c r="E27" s="35">
        <v>59450</v>
      </c>
      <c r="F27" s="35">
        <v>66110</v>
      </c>
      <c r="G27" s="35">
        <v>61670</v>
      </c>
      <c r="H27" s="35">
        <v>61670</v>
      </c>
      <c r="I27" s="35">
        <v>61670</v>
      </c>
      <c r="J27" s="43">
        <f t="shared" si="2"/>
        <v>370020</v>
      </c>
      <c r="K27" s="35">
        <v>61670</v>
      </c>
      <c r="L27" s="35">
        <v>61670</v>
      </c>
      <c r="M27" s="35">
        <v>66500</v>
      </c>
      <c r="N27" s="35">
        <v>63280</v>
      </c>
      <c r="O27" s="35">
        <v>63280</v>
      </c>
      <c r="P27" s="35">
        <v>63280</v>
      </c>
      <c r="Q27" s="43">
        <f t="shared" si="3"/>
        <v>379680</v>
      </c>
    </row>
    <row r="28" spans="1:17" x14ac:dyDescent="0.3">
      <c r="A28" s="28">
        <v>5</v>
      </c>
      <c r="B28" s="32">
        <v>3100503688812</v>
      </c>
      <c r="C28" s="34" t="s">
        <v>48</v>
      </c>
      <c r="D28" s="35">
        <v>57070</v>
      </c>
      <c r="E28" s="35">
        <v>57070</v>
      </c>
      <c r="F28" s="35">
        <v>63730</v>
      </c>
      <c r="G28" s="35">
        <v>59290</v>
      </c>
      <c r="H28" s="35">
        <v>59290</v>
      </c>
      <c r="I28" s="35">
        <v>59290</v>
      </c>
      <c r="J28" s="43">
        <f t="shared" si="2"/>
        <v>355740</v>
      </c>
      <c r="K28" s="35">
        <v>59290</v>
      </c>
      <c r="L28" s="35">
        <v>59290</v>
      </c>
      <c r="M28" s="35">
        <v>63850</v>
      </c>
      <c r="N28" s="35">
        <v>60810</v>
      </c>
      <c r="O28" s="35">
        <v>60810</v>
      </c>
      <c r="P28" s="35">
        <v>60810</v>
      </c>
      <c r="Q28" s="43">
        <f t="shared" si="3"/>
        <v>364860</v>
      </c>
    </row>
    <row r="29" spans="1:17" x14ac:dyDescent="0.3">
      <c r="A29" s="28">
        <v>6</v>
      </c>
      <c r="B29" s="32">
        <v>1610600135741</v>
      </c>
      <c r="C29" s="34" t="s">
        <v>50</v>
      </c>
      <c r="D29" s="35">
        <v>25720</v>
      </c>
      <c r="E29" s="35">
        <v>25720</v>
      </c>
      <c r="F29" s="35">
        <v>26850</v>
      </c>
      <c r="G29" s="35">
        <v>24790</v>
      </c>
      <c r="H29" s="35">
        <v>24790</v>
      </c>
      <c r="I29" s="35">
        <v>24790</v>
      </c>
      <c r="J29" s="43">
        <f t="shared" si="2"/>
        <v>152660</v>
      </c>
      <c r="K29" s="35">
        <v>24790</v>
      </c>
      <c r="L29" s="35">
        <v>24790</v>
      </c>
      <c r="M29" s="35">
        <v>27040</v>
      </c>
      <c r="N29" s="35">
        <v>25540</v>
      </c>
      <c r="O29" s="35">
        <v>25540</v>
      </c>
      <c r="P29" s="35">
        <v>25540</v>
      </c>
      <c r="Q29" s="43">
        <f t="shared" si="3"/>
        <v>153240</v>
      </c>
    </row>
    <row r="30" spans="1:17" x14ac:dyDescent="0.3">
      <c r="A30" s="28">
        <v>7</v>
      </c>
      <c r="B30" s="32">
        <v>1619900117517</v>
      </c>
      <c r="C30" s="34" t="s">
        <v>51</v>
      </c>
      <c r="D30" s="35">
        <v>21550</v>
      </c>
      <c r="E30" s="35">
        <v>21550</v>
      </c>
      <c r="F30" s="35">
        <v>24640</v>
      </c>
      <c r="G30" s="35">
        <v>22580</v>
      </c>
      <c r="H30" s="35">
        <v>22580</v>
      </c>
      <c r="I30" s="35">
        <v>22580</v>
      </c>
      <c r="J30" s="43">
        <f t="shared" si="2"/>
        <v>135480</v>
      </c>
      <c r="K30" s="35">
        <v>22580</v>
      </c>
      <c r="L30" s="35">
        <v>22580</v>
      </c>
      <c r="M30" s="35">
        <v>24830</v>
      </c>
      <c r="N30" s="35">
        <v>23330</v>
      </c>
      <c r="O30" s="35">
        <v>23330</v>
      </c>
      <c r="P30" s="35">
        <v>23330</v>
      </c>
      <c r="Q30" s="43">
        <f t="shared" si="3"/>
        <v>139980</v>
      </c>
    </row>
    <row r="31" spans="1:17" x14ac:dyDescent="0.3">
      <c r="A31" s="28">
        <v>8</v>
      </c>
      <c r="B31" s="32">
        <v>1619900176173</v>
      </c>
      <c r="C31" s="38" t="s">
        <v>52</v>
      </c>
      <c r="D31" s="35">
        <v>17990</v>
      </c>
      <c r="E31" s="35">
        <v>17990</v>
      </c>
      <c r="F31" s="35">
        <v>20360</v>
      </c>
      <c r="G31" s="35">
        <v>18780</v>
      </c>
      <c r="H31" s="35">
        <v>18780</v>
      </c>
      <c r="I31" s="35">
        <v>18780</v>
      </c>
      <c r="J31" s="43">
        <f t="shared" si="2"/>
        <v>112680</v>
      </c>
      <c r="K31" s="35">
        <v>18780</v>
      </c>
      <c r="L31" s="35">
        <v>18780</v>
      </c>
      <c r="M31" s="35">
        <v>20400</v>
      </c>
      <c r="N31" s="35">
        <v>19320</v>
      </c>
      <c r="O31" s="35">
        <v>26280</v>
      </c>
      <c r="P31" s="35">
        <v>21060</v>
      </c>
      <c r="Q31" s="43">
        <f t="shared" si="3"/>
        <v>124620</v>
      </c>
    </row>
    <row r="32" spans="1:17" s="55" customFormat="1" x14ac:dyDescent="0.3">
      <c r="A32" s="28">
        <v>9</v>
      </c>
      <c r="B32" s="32">
        <v>1100702961148</v>
      </c>
      <c r="C32" s="38" t="s">
        <v>53</v>
      </c>
      <c r="D32" s="35">
        <v>17910</v>
      </c>
      <c r="E32" s="35">
        <v>17910</v>
      </c>
      <c r="F32" s="35">
        <v>20280</v>
      </c>
      <c r="G32" s="35">
        <v>18700</v>
      </c>
      <c r="H32" s="35">
        <v>18700</v>
      </c>
      <c r="I32" s="35">
        <v>18700</v>
      </c>
      <c r="J32" s="43">
        <f t="shared" si="2"/>
        <v>112200</v>
      </c>
      <c r="K32" s="35">
        <v>18700</v>
      </c>
      <c r="L32" s="35">
        <v>18700</v>
      </c>
      <c r="M32" s="35">
        <v>20410</v>
      </c>
      <c r="N32" s="35">
        <v>19270</v>
      </c>
      <c r="O32" s="35">
        <v>26230</v>
      </c>
      <c r="P32" s="35">
        <v>21010</v>
      </c>
      <c r="Q32" s="43">
        <f t="shared" si="3"/>
        <v>124320</v>
      </c>
    </row>
    <row r="33" spans="1:17" s="55" customFormat="1" x14ac:dyDescent="0.3">
      <c r="A33" s="28">
        <v>10</v>
      </c>
      <c r="B33" s="32">
        <v>1619900187051</v>
      </c>
      <c r="C33" s="38" t="s">
        <v>230</v>
      </c>
      <c r="D33" s="83"/>
      <c r="E33" s="83"/>
      <c r="F33" s="83"/>
      <c r="G33" s="35">
        <v>32480</v>
      </c>
      <c r="H33" s="35">
        <v>32480</v>
      </c>
      <c r="I33" s="35">
        <v>32480</v>
      </c>
      <c r="J33" s="43">
        <f t="shared" si="2"/>
        <v>97440</v>
      </c>
      <c r="K33" s="35">
        <v>32480</v>
      </c>
      <c r="L33" s="35">
        <v>32480</v>
      </c>
      <c r="M33" s="35">
        <v>35240</v>
      </c>
      <c r="N33" s="35">
        <v>33400</v>
      </c>
      <c r="O33" s="35">
        <v>36840</v>
      </c>
      <c r="P33" s="35">
        <v>34260</v>
      </c>
      <c r="Q33" s="43">
        <f t="shared" si="3"/>
        <v>204700</v>
      </c>
    </row>
    <row r="34" spans="1:17" x14ac:dyDescent="0.3">
      <c r="A34" s="28">
        <v>11</v>
      </c>
      <c r="B34" s="32">
        <v>1619900248042</v>
      </c>
      <c r="C34" s="38" t="s">
        <v>231</v>
      </c>
      <c r="D34" s="83"/>
      <c r="E34" s="83"/>
      <c r="F34" s="83"/>
      <c r="G34" s="35">
        <v>20080</v>
      </c>
      <c r="H34" s="35">
        <v>20080</v>
      </c>
      <c r="I34" s="35">
        <v>20080</v>
      </c>
      <c r="J34" s="43">
        <f t="shared" si="2"/>
        <v>60240</v>
      </c>
      <c r="K34" s="35">
        <v>20080</v>
      </c>
      <c r="L34" s="35">
        <v>20080</v>
      </c>
      <c r="M34" s="35">
        <v>22150</v>
      </c>
      <c r="N34" s="35">
        <v>20770</v>
      </c>
      <c r="O34" s="35">
        <v>26850</v>
      </c>
      <c r="P34" s="35">
        <v>22290</v>
      </c>
      <c r="Q34" s="43">
        <f t="shared" si="3"/>
        <v>132220</v>
      </c>
    </row>
    <row r="35" spans="1:17" x14ac:dyDescent="0.3">
      <c r="J35" s="44">
        <f>SUM(J24:J34)</f>
        <v>2556440</v>
      </c>
      <c r="Q35" s="44">
        <f>SUM(Q24:Q34)</f>
        <v>2811380</v>
      </c>
    </row>
    <row r="37" spans="1:17" x14ac:dyDescent="0.3">
      <c r="C37" s="38" t="s">
        <v>63</v>
      </c>
      <c r="D37" s="35">
        <v>15000</v>
      </c>
      <c r="E37" s="35">
        <v>15000</v>
      </c>
      <c r="F37" s="35">
        <v>15000</v>
      </c>
      <c r="G37" s="35">
        <v>15000</v>
      </c>
      <c r="H37" s="35">
        <v>15000</v>
      </c>
      <c r="I37" s="35">
        <v>15000</v>
      </c>
      <c r="J37" s="43">
        <f>SUM(D37:I37)</f>
        <v>90000</v>
      </c>
      <c r="K37" s="35">
        <v>15000</v>
      </c>
      <c r="L37" s="35">
        <v>15000</v>
      </c>
      <c r="M37" s="35">
        <v>15000</v>
      </c>
      <c r="N37" s="35">
        <v>15000</v>
      </c>
      <c r="O37" s="35">
        <v>15000</v>
      </c>
      <c r="P37" s="35">
        <v>15000</v>
      </c>
      <c r="Q37" s="35">
        <f>SUM(K37:P37)</f>
        <v>90000</v>
      </c>
    </row>
    <row r="38" spans="1:17" x14ac:dyDescent="0.3">
      <c r="C38" s="38" t="s">
        <v>64</v>
      </c>
      <c r="D38" s="35">
        <v>9000</v>
      </c>
      <c r="E38" s="35">
        <v>9000</v>
      </c>
      <c r="F38" s="35">
        <v>9000</v>
      </c>
      <c r="G38" s="35">
        <v>9000</v>
      </c>
      <c r="H38" s="35">
        <v>9000</v>
      </c>
      <c r="I38" s="35">
        <v>9000</v>
      </c>
      <c r="J38" s="43">
        <f>SUM(D38:I38)</f>
        <v>54000</v>
      </c>
      <c r="K38" s="35">
        <v>9000</v>
      </c>
      <c r="L38" s="35">
        <v>9000</v>
      </c>
      <c r="M38" s="35">
        <v>9000</v>
      </c>
      <c r="N38" s="35">
        <v>9000</v>
      </c>
      <c r="O38" s="35">
        <v>9000</v>
      </c>
      <c r="P38" s="35">
        <v>9000</v>
      </c>
      <c r="Q38" s="35">
        <f>SUM(K38:P38)</f>
        <v>54000</v>
      </c>
    </row>
    <row r="39" spans="1:17" x14ac:dyDescent="0.3">
      <c r="C39" s="38" t="s">
        <v>65</v>
      </c>
      <c r="D39" s="35">
        <v>9000</v>
      </c>
      <c r="E39" s="35">
        <v>9000</v>
      </c>
      <c r="F39" s="35">
        <v>9000</v>
      </c>
      <c r="G39" s="35">
        <v>9000</v>
      </c>
      <c r="H39" s="35">
        <v>9000</v>
      </c>
      <c r="I39" s="35">
        <v>9000</v>
      </c>
      <c r="J39" s="43">
        <f>SUM(D39:I39)</f>
        <v>54000</v>
      </c>
      <c r="K39" s="35">
        <v>9000</v>
      </c>
      <c r="L39" s="35">
        <v>9000</v>
      </c>
      <c r="M39" s="35">
        <v>9000</v>
      </c>
      <c r="N39" s="35">
        <v>9000</v>
      </c>
      <c r="O39" s="35">
        <v>9000</v>
      </c>
      <c r="P39" s="35">
        <v>9000</v>
      </c>
      <c r="Q39" s="35">
        <f>SUM(K39:P39)</f>
        <v>54000</v>
      </c>
    </row>
    <row r="40" spans="1:17" x14ac:dyDescent="0.3">
      <c r="C40" s="82" t="s">
        <v>61</v>
      </c>
      <c r="D40" s="35">
        <v>6000</v>
      </c>
      <c r="E40" s="35">
        <v>6000</v>
      </c>
      <c r="F40" s="35">
        <v>6000</v>
      </c>
      <c r="G40" s="35">
        <v>6000</v>
      </c>
      <c r="H40" s="35">
        <v>6000</v>
      </c>
      <c r="I40" s="35">
        <v>6000</v>
      </c>
      <c r="J40" s="43">
        <f>SUM(D40:I40)</f>
        <v>36000</v>
      </c>
      <c r="K40" s="35">
        <v>6000</v>
      </c>
      <c r="L40" s="35">
        <v>6000</v>
      </c>
      <c r="M40" s="35">
        <v>6000</v>
      </c>
      <c r="N40" s="35">
        <v>6000</v>
      </c>
      <c r="O40" s="35">
        <v>6000</v>
      </c>
      <c r="P40" s="35">
        <v>6000</v>
      </c>
      <c r="Q40" s="35">
        <f>SUM(K40:P40)</f>
        <v>36000</v>
      </c>
    </row>
    <row r="41" spans="1:17" x14ac:dyDescent="0.3">
      <c r="C41" s="82" t="s">
        <v>62</v>
      </c>
      <c r="D41" s="35">
        <v>6000</v>
      </c>
      <c r="E41" s="35">
        <v>6000</v>
      </c>
      <c r="F41" s="35">
        <v>6000</v>
      </c>
      <c r="G41" s="35">
        <v>6000</v>
      </c>
      <c r="H41" s="83"/>
      <c r="I41" s="83"/>
      <c r="J41" s="43">
        <f>SUM(D41:I41)</f>
        <v>24000</v>
      </c>
      <c r="K41" s="83"/>
      <c r="L41" s="83"/>
      <c r="M41" s="83"/>
      <c r="N41" s="83"/>
      <c r="O41" s="83"/>
      <c r="P41" s="83"/>
      <c r="Q41" s="83">
        <f>SUM(K41:P41)</f>
        <v>0</v>
      </c>
    </row>
    <row r="46" spans="1:17" x14ac:dyDescent="0.3">
      <c r="B46" s="29" t="s">
        <v>41</v>
      </c>
      <c r="C46" s="30"/>
      <c r="D46" s="31" t="s">
        <v>298</v>
      </c>
      <c r="E46" s="31" t="s">
        <v>299</v>
      </c>
      <c r="F46" s="31" t="s">
        <v>300</v>
      </c>
      <c r="G46" s="31" t="s">
        <v>301</v>
      </c>
      <c r="H46" s="31" t="s">
        <v>302</v>
      </c>
      <c r="I46" s="31" t="s">
        <v>303</v>
      </c>
      <c r="J46" s="31" t="s">
        <v>4</v>
      </c>
      <c r="K46" s="31" t="s">
        <v>238</v>
      </c>
      <c r="L46" s="31" t="s">
        <v>239</v>
      </c>
      <c r="M46" s="31" t="s">
        <v>240</v>
      </c>
      <c r="N46" s="31" t="s">
        <v>241</v>
      </c>
      <c r="O46" s="31" t="s">
        <v>242</v>
      </c>
      <c r="P46" s="31" t="s">
        <v>243</v>
      </c>
      <c r="Q46" s="31" t="s">
        <v>4</v>
      </c>
    </row>
    <row r="47" spans="1:17" x14ac:dyDescent="0.3">
      <c r="B47" s="32">
        <v>3610400224673</v>
      </c>
      <c r="C47" s="33" t="s">
        <v>42</v>
      </c>
      <c r="D47" s="172">
        <v>61040</v>
      </c>
      <c r="E47" s="172">
        <v>64160</v>
      </c>
      <c r="F47" s="172">
        <v>62600</v>
      </c>
      <c r="G47" s="172">
        <v>62600</v>
      </c>
      <c r="H47" s="172">
        <v>62600</v>
      </c>
      <c r="I47" s="172">
        <v>62600</v>
      </c>
      <c r="J47" s="43">
        <f>SUM(D47:I47)</f>
        <v>375600</v>
      </c>
      <c r="K47" s="35"/>
      <c r="L47" s="35"/>
      <c r="M47" s="35"/>
      <c r="N47" s="35"/>
      <c r="O47" s="35"/>
      <c r="P47" s="35"/>
      <c r="Q47" s="43"/>
    </row>
    <row r="48" spans="1:17" x14ac:dyDescent="0.3">
      <c r="B48" s="32">
        <v>3610500109671</v>
      </c>
      <c r="C48" s="34" t="s">
        <v>46</v>
      </c>
      <c r="D48" s="172">
        <v>73720</v>
      </c>
      <c r="E48" s="172">
        <v>73720</v>
      </c>
      <c r="F48" s="172">
        <v>78100</v>
      </c>
      <c r="G48" s="172">
        <v>75180</v>
      </c>
      <c r="H48" s="172">
        <v>75180</v>
      </c>
      <c r="I48" s="172">
        <v>75180</v>
      </c>
      <c r="J48" s="43">
        <f t="shared" ref="J48:J57" si="4">SUM(D48:I48)</f>
        <v>451080</v>
      </c>
      <c r="K48" s="35"/>
      <c r="L48" s="35"/>
      <c r="M48" s="35"/>
      <c r="N48" s="35"/>
      <c r="O48" s="35"/>
      <c r="P48" s="35"/>
      <c r="Q48" s="43"/>
    </row>
    <row r="49" spans="2:17" x14ac:dyDescent="0.3">
      <c r="B49" s="32">
        <v>3610200328211</v>
      </c>
      <c r="C49" s="34" t="s">
        <v>47</v>
      </c>
      <c r="D49" s="172">
        <v>63200</v>
      </c>
      <c r="E49" s="172">
        <v>63200</v>
      </c>
      <c r="F49" s="172">
        <v>67940</v>
      </c>
      <c r="G49" s="172">
        <v>67940</v>
      </c>
      <c r="H49" s="172">
        <v>64780</v>
      </c>
      <c r="I49" s="172">
        <v>64780</v>
      </c>
      <c r="J49" s="43">
        <f t="shared" si="4"/>
        <v>391840</v>
      </c>
      <c r="K49" s="35"/>
      <c r="L49" s="35"/>
      <c r="M49" s="35"/>
      <c r="N49" s="35"/>
      <c r="O49" s="35"/>
      <c r="P49" s="35"/>
      <c r="Q49" s="43"/>
    </row>
    <row r="50" spans="2:17" x14ac:dyDescent="0.3">
      <c r="B50" s="32">
        <v>3610500159091</v>
      </c>
      <c r="C50" s="34" t="s">
        <v>49</v>
      </c>
      <c r="D50" s="172">
        <v>63280</v>
      </c>
      <c r="E50" s="172">
        <v>63280</v>
      </c>
      <c r="F50" s="172">
        <v>67600</v>
      </c>
      <c r="G50" s="172">
        <v>64720</v>
      </c>
      <c r="H50" s="172">
        <v>64720</v>
      </c>
      <c r="I50" s="172">
        <v>64720</v>
      </c>
      <c r="J50" s="43">
        <f t="shared" si="4"/>
        <v>388320</v>
      </c>
      <c r="K50" s="35"/>
      <c r="L50" s="35"/>
      <c r="M50" s="35"/>
      <c r="N50" s="35"/>
      <c r="O50" s="35"/>
      <c r="P50" s="35"/>
      <c r="Q50" s="43"/>
    </row>
    <row r="51" spans="2:17" x14ac:dyDescent="0.3">
      <c r="B51" s="32">
        <v>3100503688812</v>
      </c>
      <c r="C51" s="34" t="s">
        <v>48</v>
      </c>
      <c r="D51" s="172">
        <v>60810</v>
      </c>
      <c r="E51" s="172">
        <v>60810</v>
      </c>
      <c r="F51" s="174"/>
      <c r="G51" s="174"/>
      <c r="H51" s="174"/>
      <c r="I51" s="174"/>
      <c r="J51" s="43">
        <f t="shared" si="4"/>
        <v>121620</v>
      </c>
      <c r="K51" s="35"/>
      <c r="L51" s="35"/>
      <c r="M51" s="35"/>
      <c r="N51" s="35"/>
      <c r="O51" s="35"/>
      <c r="P51" s="35"/>
      <c r="Q51" s="43"/>
    </row>
    <row r="52" spans="2:17" x14ac:dyDescent="0.3">
      <c r="B52" s="32">
        <v>1610600135741</v>
      </c>
      <c r="C52" s="34" t="s">
        <v>50</v>
      </c>
      <c r="D52" s="172">
        <v>26620</v>
      </c>
      <c r="E52" s="172">
        <v>26620</v>
      </c>
      <c r="F52" s="172">
        <v>29200</v>
      </c>
      <c r="G52" s="172">
        <v>45060</v>
      </c>
      <c r="H52" s="172">
        <v>31000</v>
      </c>
      <c r="I52" s="172">
        <v>31000</v>
      </c>
      <c r="J52" s="43">
        <f t="shared" si="4"/>
        <v>189500</v>
      </c>
      <c r="K52" s="35"/>
      <c r="L52" s="35"/>
      <c r="M52" s="35"/>
      <c r="N52" s="35"/>
      <c r="O52" s="35"/>
      <c r="P52" s="35"/>
      <c r="Q52" s="43"/>
    </row>
    <row r="53" spans="2:17" x14ac:dyDescent="0.3">
      <c r="B53" s="32">
        <v>1619900117517</v>
      </c>
      <c r="C53" s="34" t="s">
        <v>51</v>
      </c>
      <c r="D53" s="172">
        <v>24630</v>
      </c>
      <c r="E53" s="172">
        <v>24630</v>
      </c>
      <c r="F53" s="172">
        <v>26700</v>
      </c>
      <c r="G53" s="172">
        <v>25320</v>
      </c>
      <c r="H53" s="172">
        <v>25320</v>
      </c>
      <c r="I53" s="172">
        <v>25320</v>
      </c>
      <c r="J53" s="43">
        <f t="shared" si="4"/>
        <v>151920</v>
      </c>
      <c r="K53" s="35"/>
      <c r="L53" s="35"/>
      <c r="M53" s="35"/>
      <c r="N53" s="35"/>
      <c r="O53" s="35"/>
      <c r="P53" s="35"/>
      <c r="Q53" s="43"/>
    </row>
    <row r="54" spans="2:17" x14ac:dyDescent="0.3">
      <c r="B54" s="32">
        <v>1619900176173</v>
      </c>
      <c r="C54" s="38" t="s">
        <v>52</v>
      </c>
      <c r="D54" s="172">
        <v>21060</v>
      </c>
      <c r="E54" s="172">
        <v>21060</v>
      </c>
      <c r="F54" s="172">
        <v>23220</v>
      </c>
      <c r="G54" s="172">
        <v>21820</v>
      </c>
      <c r="H54" s="172">
        <v>21790</v>
      </c>
      <c r="I54" s="172">
        <v>21790</v>
      </c>
      <c r="J54" s="43">
        <f t="shared" si="4"/>
        <v>130740</v>
      </c>
      <c r="K54" s="35"/>
      <c r="L54" s="35"/>
      <c r="M54" s="35"/>
      <c r="N54" s="35"/>
      <c r="O54" s="35"/>
      <c r="P54" s="35"/>
      <c r="Q54" s="43"/>
    </row>
    <row r="55" spans="2:17" x14ac:dyDescent="0.3">
      <c r="B55" s="32">
        <v>1100702961148</v>
      </c>
      <c r="C55" s="38" t="s">
        <v>53</v>
      </c>
      <c r="D55" s="172">
        <v>21010</v>
      </c>
      <c r="E55" s="172">
        <v>21010</v>
      </c>
      <c r="F55" s="172">
        <v>22960</v>
      </c>
      <c r="G55" s="172">
        <v>21660</v>
      </c>
      <c r="H55" s="172">
        <v>21660</v>
      </c>
      <c r="I55" s="172">
        <v>21660</v>
      </c>
      <c r="J55" s="43">
        <f t="shared" si="4"/>
        <v>129960</v>
      </c>
      <c r="K55" s="35"/>
      <c r="L55" s="35"/>
      <c r="M55" s="35"/>
      <c r="N55" s="35"/>
      <c r="O55" s="35"/>
      <c r="P55" s="35"/>
      <c r="Q55" s="43"/>
    </row>
    <row r="56" spans="2:17" x14ac:dyDescent="0.3">
      <c r="B56" s="32">
        <v>1619900187051</v>
      </c>
      <c r="C56" s="38" t="s">
        <v>230</v>
      </c>
      <c r="D56" s="172">
        <v>34260</v>
      </c>
      <c r="E56" s="172">
        <v>34260</v>
      </c>
      <c r="F56" s="172">
        <v>37650</v>
      </c>
      <c r="G56" s="172">
        <v>35390</v>
      </c>
      <c r="H56" s="172">
        <v>35390</v>
      </c>
      <c r="I56" s="172">
        <v>35390</v>
      </c>
      <c r="J56" s="43">
        <f t="shared" si="4"/>
        <v>212340</v>
      </c>
      <c r="K56" s="35"/>
      <c r="L56" s="35"/>
      <c r="M56" s="35"/>
      <c r="N56" s="35"/>
      <c r="O56" s="35"/>
      <c r="P56" s="35"/>
      <c r="Q56" s="43"/>
    </row>
    <row r="57" spans="2:17" x14ac:dyDescent="0.3">
      <c r="B57" s="32">
        <v>1619900248042</v>
      </c>
      <c r="C57" s="38" t="s">
        <v>231</v>
      </c>
      <c r="D57" s="172">
        <v>22290</v>
      </c>
      <c r="E57" s="172">
        <v>22290</v>
      </c>
      <c r="F57" s="172">
        <v>24510</v>
      </c>
      <c r="G57" s="172">
        <v>23030</v>
      </c>
      <c r="H57" s="172">
        <v>23030</v>
      </c>
      <c r="I57" s="172">
        <v>23030</v>
      </c>
      <c r="J57" s="43">
        <f t="shared" si="4"/>
        <v>138180</v>
      </c>
      <c r="K57" s="35"/>
      <c r="L57" s="35"/>
      <c r="M57" s="35"/>
      <c r="N57" s="35"/>
      <c r="O57" s="35"/>
      <c r="P57" s="35"/>
      <c r="Q57" s="43"/>
    </row>
    <row r="58" spans="2:17" x14ac:dyDescent="0.3">
      <c r="J58" s="44">
        <f>SUM(J47:J57)</f>
        <v>2681100</v>
      </c>
      <c r="Q58" s="44"/>
    </row>
    <row r="60" spans="2:17" x14ac:dyDescent="0.3">
      <c r="C60" s="38" t="s">
        <v>63</v>
      </c>
      <c r="D60" s="35">
        <v>15000</v>
      </c>
      <c r="E60" s="35">
        <v>15000</v>
      </c>
      <c r="F60" s="35">
        <v>15000</v>
      </c>
      <c r="G60" s="35">
        <v>15000</v>
      </c>
      <c r="H60" s="35">
        <v>15000</v>
      </c>
      <c r="I60" s="35">
        <v>15000</v>
      </c>
      <c r="J60" s="43">
        <f>SUM(D60:I60)</f>
        <v>90000</v>
      </c>
      <c r="K60" s="35">
        <v>15000</v>
      </c>
      <c r="L60" s="35">
        <v>15000</v>
      </c>
      <c r="M60" s="35">
        <v>15000</v>
      </c>
      <c r="N60" s="35">
        <v>15000</v>
      </c>
      <c r="O60" s="35">
        <v>15000</v>
      </c>
      <c r="P60" s="35">
        <v>15000</v>
      </c>
      <c r="Q60" s="35">
        <f>SUM(K60:P60)</f>
        <v>90000</v>
      </c>
    </row>
    <row r="61" spans="2:17" x14ac:dyDescent="0.3">
      <c r="C61" s="38" t="s">
        <v>65</v>
      </c>
      <c r="D61" s="35">
        <v>9000</v>
      </c>
      <c r="E61" s="35">
        <v>9000</v>
      </c>
      <c r="F61" s="35">
        <v>9000</v>
      </c>
      <c r="G61" s="35">
        <v>9000</v>
      </c>
      <c r="H61" s="35">
        <v>9000</v>
      </c>
      <c r="I61" s="35">
        <v>9000</v>
      </c>
      <c r="J61" s="43">
        <f>SUM(D61:I61)</f>
        <v>54000</v>
      </c>
      <c r="K61" s="35">
        <v>9000</v>
      </c>
      <c r="L61" s="35">
        <v>9000</v>
      </c>
      <c r="M61" s="35">
        <v>9000</v>
      </c>
      <c r="N61" s="35">
        <v>9000</v>
      </c>
      <c r="O61" s="35">
        <v>9000</v>
      </c>
      <c r="P61" s="35">
        <v>9000</v>
      </c>
      <c r="Q61" s="35">
        <f>SUM(K61:P61)</f>
        <v>54000</v>
      </c>
    </row>
    <row r="62" spans="2:17" x14ac:dyDescent="0.3">
      <c r="C62" s="82" t="s">
        <v>61</v>
      </c>
      <c r="D62" s="35">
        <v>7000</v>
      </c>
      <c r="E62" s="35">
        <v>7000</v>
      </c>
      <c r="F62" s="35">
        <v>7000</v>
      </c>
      <c r="G62" s="35">
        <v>7000</v>
      </c>
      <c r="H62" s="35">
        <v>7000</v>
      </c>
      <c r="I62" s="35">
        <v>7000</v>
      </c>
      <c r="J62" s="43">
        <f>SUM(D62:I62)</f>
        <v>42000</v>
      </c>
      <c r="K62" s="35">
        <v>7000</v>
      </c>
      <c r="L62" s="35">
        <v>7000</v>
      </c>
      <c r="M62" s="35">
        <v>7000</v>
      </c>
      <c r="N62" s="35">
        <v>7000</v>
      </c>
      <c r="O62" s="35">
        <v>7000</v>
      </c>
      <c r="P62" s="35">
        <v>7000</v>
      </c>
      <c r="Q62" s="35">
        <f>SUM(K62:P62)</f>
        <v>42000</v>
      </c>
    </row>
    <row r="63" spans="2:17" x14ac:dyDescent="0.3">
      <c r="C63" s="82" t="s">
        <v>304</v>
      </c>
      <c r="D63" s="35">
        <v>5000</v>
      </c>
      <c r="E63" s="35">
        <v>5000</v>
      </c>
      <c r="F63" s="35">
        <v>5000</v>
      </c>
      <c r="G63" s="35">
        <v>5000</v>
      </c>
      <c r="H63" s="35">
        <v>5000</v>
      </c>
      <c r="I63" s="35">
        <v>5000</v>
      </c>
      <c r="J63" s="43">
        <f>SUM(D63:I63)</f>
        <v>30000</v>
      </c>
      <c r="K63" s="83"/>
      <c r="L63" s="83"/>
      <c r="M63" s="83"/>
      <c r="N63" s="83"/>
      <c r="O63" s="83"/>
      <c r="P63" s="83"/>
      <c r="Q63" s="83">
        <f>SUM(K63:P63)</f>
        <v>0</v>
      </c>
    </row>
  </sheetData>
  <phoneticPr fontId="26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449E-32AC-490B-982B-4ECCEC4F081C}">
  <dimension ref="A1:N25"/>
  <sheetViews>
    <sheetView zoomScale="77" zoomScaleNormal="77" workbookViewId="0">
      <selection activeCell="H10" sqref="H10"/>
    </sheetView>
  </sheetViews>
  <sheetFormatPr defaultColWidth="27.5703125" defaultRowHeight="18.75" x14ac:dyDescent="0.3"/>
  <cols>
    <col min="1" max="1" width="16.5703125" style="36" customWidth="1"/>
    <col min="2" max="2" width="18.7109375" style="36" customWidth="1"/>
    <col min="3" max="5" width="16.5703125" style="36" customWidth="1"/>
    <col min="6" max="6" width="16.5703125" style="37" customWidth="1"/>
    <col min="7" max="7" width="16.28515625" style="37" bestFit="1" customWidth="1"/>
    <col min="8" max="8" width="16.5703125" style="36" customWidth="1"/>
    <col min="9" max="9" width="27.5703125" style="36"/>
    <col min="10" max="10" width="15.140625" style="37" bestFit="1" customWidth="1"/>
    <col min="11" max="11" width="17" style="36" bestFit="1" customWidth="1"/>
    <col min="12" max="12" width="12.5703125" style="36" bestFit="1" customWidth="1"/>
    <col min="13" max="13" width="14.7109375" style="36" bestFit="1" customWidth="1"/>
    <col min="14" max="16384" width="27.5703125" style="36"/>
  </cols>
  <sheetData>
    <row r="1" spans="1:13" ht="112.5" x14ac:dyDescent="0.3">
      <c r="A1" s="46" t="s">
        <v>256</v>
      </c>
      <c r="B1" s="46" t="s">
        <v>257</v>
      </c>
      <c r="C1" s="46" t="s">
        <v>258</v>
      </c>
      <c r="D1" s="46" t="s">
        <v>259</v>
      </c>
      <c r="E1" s="46" t="s">
        <v>260</v>
      </c>
      <c r="F1" s="76" t="s">
        <v>261</v>
      </c>
      <c r="G1" s="76" t="s">
        <v>262</v>
      </c>
      <c r="H1" s="46" t="s">
        <v>251</v>
      </c>
      <c r="I1" s="84" t="s">
        <v>252</v>
      </c>
      <c r="J1" s="76" t="s">
        <v>254</v>
      </c>
      <c r="K1" s="46" t="s">
        <v>227</v>
      </c>
      <c r="L1" s="85" t="s">
        <v>253</v>
      </c>
      <c r="M1" s="46" t="s">
        <v>255</v>
      </c>
    </row>
    <row r="2" spans="1:13" s="37" customFormat="1" x14ac:dyDescent="0.3">
      <c r="A2" s="171">
        <v>177960</v>
      </c>
      <c r="B2" s="171"/>
      <c r="C2" s="171">
        <v>32425</v>
      </c>
      <c r="D2" s="172"/>
      <c r="E2" s="171">
        <v>49290</v>
      </c>
      <c r="F2" s="172"/>
      <c r="G2" s="72">
        <v>46400</v>
      </c>
      <c r="H2" s="72">
        <v>488400</v>
      </c>
      <c r="I2" s="72">
        <v>15300</v>
      </c>
      <c r="J2" s="172"/>
      <c r="K2" s="72">
        <v>125</v>
      </c>
      <c r="L2" s="72">
        <v>1070</v>
      </c>
      <c r="M2" s="72">
        <v>353.57</v>
      </c>
    </row>
    <row r="3" spans="1:13" s="37" customFormat="1" x14ac:dyDescent="0.3">
      <c r="A3" s="171">
        <v>74580</v>
      </c>
      <c r="B3" s="172"/>
      <c r="C3" s="171">
        <v>13615</v>
      </c>
      <c r="D3" s="172"/>
      <c r="E3" s="171">
        <v>20655</v>
      </c>
      <c r="F3" s="72">
        <v>34000</v>
      </c>
      <c r="G3" s="72">
        <v>12.8</v>
      </c>
      <c r="H3" s="72">
        <v>9900</v>
      </c>
      <c r="I3" s="72">
        <v>63.25</v>
      </c>
      <c r="J3" s="172"/>
      <c r="K3" s="72">
        <v>116</v>
      </c>
      <c r="L3" s="172"/>
      <c r="M3" s="72">
        <v>381.87</v>
      </c>
    </row>
    <row r="4" spans="1:13" s="37" customFormat="1" x14ac:dyDescent="0.3">
      <c r="A4" s="171"/>
      <c r="B4" s="172"/>
      <c r="C4" s="172"/>
      <c r="D4" s="172"/>
      <c r="E4" s="172"/>
      <c r="F4" s="172"/>
      <c r="G4" s="172"/>
      <c r="H4" s="172"/>
      <c r="I4" s="72">
        <v>87330</v>
      </c>
      <c r="J4" s="172"/>
      <c r="K4" s="72">
        <v>113</v>
      </c>
      <c r="L4" s="172"/>
      <c r="M4" s="172"/>
    </row>
    <row r="5" spans="1:13" s="37" customFormat="1" x14ac:dyDescent="0.3">
      <c r="A5" s="173"/>
      <c r="B5" s="172"/>
      <c r="C5" s="172"/>
      <c r="D5" s="172"/>
      <c r="E5" s="172"/>
      <c r="F5" s="172"/>
      <c r="G5" s="172"/>
      <c r="H5" s="172"/>
      <c r="I5" s="72">
        <v>84.81</v>
      </c>
      <c r="J5" s="172"/>
      <c r="K5" s="72"/>
      <c r="L5" s="172"/>
      <c r="M5" s="172"/>
    </row>
    <row r="6" spans="1:13" s="37" customFormat="1" x14ac:dyDescent="0.3">
      <c r="A6" s="173"/>
      <c r="B6" s="172"/>
      <c r="C6" s="172"/>
      <c r="D6" s="172"/>
      <c r="E6" s="172"/>
      <c r="F6" s="172"/>
      <c r="G6" s="172"/>
      <c r="H6" s="172"/>
      <c r="I6" s="72">
        <v>1000</v>
      </c>
      <c r="J6" s="172"/>
      <c r="K6" s="72"/>
      <c r="L6" s="172"/>
      <c r="M6" s="172"/>
    </row>
    <row r="7" spans="1:13" s="37" customFormat="1" x14ac:dyDescent="0.3">
      <c r="A7" s="173"/>
      <c r="B7" s="172"/>
      <c r="C7" s="172"/>
      <c r="D7" s="172"/>
      <c r="E7" s="172"/>
      <c r="F7" s="172"/>
      <c r="G7" s="172"/>
      <c r="H7" s="172"/>
      <c r="I7" s="72"/>
      <c r="J7" s="172"/>
      <c r="K7" s="172"/>
      <c r="L7" s="172"/>
      <c r="M7" s="172"/>
    </row>
    <row r="8" spans="1:13" s="37" customFormat="1" x14ac:dyDescent="0.3">
      <c r="A8" s="47"/>
      <c r="B8" s="35"/>
      <c r="C8" s="35"/>
      <c r="D8" s="35"/>
      <c r="E8" s="35"/>
      <c r="F8" s="35"/>
      <c r="G8" s="35"/>
      <c r="H8" s="35"/>
      <c r="I8" s="82"/>
      <c r="J8" s="35"/>
      <c r="K8" s="35"/>
      <c r="L8" s="35"/>
      <c r="M8" s="35"/>
    </row>
    <row r="9" spans="1:13" s="37" customFormat="1" x14ac:dyDescent="0.3">
      <c r="A9" s="35"/>
      <c r="B9" s="35"/>
      <c r="C9" s="35"/>
      <c r="D9" s="35"/>
      <c r="E9" s="35"/>
      <c r="F9" s="35"/>
      <c r="G9" s="35"/>
      <c r="H9" s="35"/>
      <c r="I9" s="82"/>
      <c r="J9" s="35"/>
      <c r="K9" s="35"/>
      <c r="L9" s="35"/>
      <c r="M9" s="35"/>
    </row>
    <row r="10" spans="1:13" s="37" customFormat="1" x14ac:dyDescent="0.3">
      <c r="A10" s="35">
        <f t="shared" ref="A10:H10" si="0">SUM(A2:A9)</f>
        <v>252540</v>
      </c>
      <c r="B10" s="35">
        <f t="shared" si="0"/>
        <v>0</v>
      </c>
      <c r="C10" s="35">
        <f t="shared" si="0"/>
        <v>46040</v>
      </c>
      <c r="D10" s="35">
        <f t="shared" si="0"/>
        <v>0</v>
      </c>
      <c r="E10" s="35">
        <f t="shared" si="0"/>
        <v>69945</v>
      </c>
      <c r="F10" s="35">
        <f t="shared" si="0"/>
        <v>34000</v>
      </c>
      <c r="G10" s="35">
        <f t="shared" si="0"/>
        <v>46412.800000000003</v>
      </c>
      <c r="H10" s="35">
        <f t="shared" si="0"/>
        <v>498300</v>
      </c>
      <c r="I10" s="35">
        <f>SUM(I2:I9)</f>
        <v>103778.06</v>
      </c>
      <c r="J10" s="35">
        <f>SUM(J2:J9)</f>
        <v>0</v>
      </c>
      <c r="K10" s="35">
        <f>SUM(K2:K9)</f>
        <v>354</v>
      </c>
      <c r="L10" s="35">
        <f>SUM(L2:L9)</f>
        <v>1070</v>
      </c>
      <c r="M10" s="35">
        <f>SUM(M2:M9)</f>
        <v>735.44</v>
      </c>
    </row>
    <row r="11" spans="1:13" s="37" customFormat="1" x14ac:dyDescent="0.3">
      <c r="A11" s="36"/>
      <c r="B11" s="36"/>
      <c r="C11" s="36"/>
      <c r="D11" s="36"/>
      <c r="E11" s="36"/>
      <c r="H11" s="36"/>
      <c r="I11" s="36"/>
      <c r="K11" s="36"/>
      <c r="L11" s="36"/>
      <c r="M11" s="36"/>
    </row>
    <row r="12" spans="1:13" s="37" customFormat="1" x14ac:dyDescent="0.3">
      <c r="A12" s="36"/>
      <c r="B12" s="36"/>
      <c r="C12" s="36"/>
      <c r="D12" s="36"/>
      <c r="E12" s="36"/>
      <c r="H12" s="36"/>
      <c r="I12" s="36"/>
      <c r="K12" s="36"/>
      <c r="L12" s="36"/>
      <c r="M12" s="36"/>
    </row>
    <row r="13" spans="1:13" s="37" customFormat="1" x14ac:dyDescent="0.3">
      <c r="A13" s="36"/>
      <c r="B13" s="36"/>
      <c r="C13" s="36"/>
      <c r="D13" s="36"/>
      <c r="E13" s="36"/>
      <c r="H13" s="36"/>
      <c r="K13" s="36"/>
      <c r="L13" s="36"/>
      <c r="M13" s="36"/>
    </row>
    <row r="14" spans="1:13" s="37" customFormat="1" x14ac:dyDescent="0.3">
      <c r="A14" s="36"/>
      <c r="B14" s="36"/>
      <c r="C14" s="36"/>
      <c r="D14" s="36"/>
      <c r="E14" s="36"/>
      <c r="H14" s="36"/>
      <c r="I14" s="36"/>
      <c r="K14" s="36"/>
      <c r="L14" s="36"/>
      <c r="M14" s="36"/>
    </row>
    <row r="15" spans="1:13" s="37" customFormat="1" x14ac:dyDescent="0.3">
      <c r="A15" s="36"/>
      <c r="B15" s="36"/>
      <c r="C15" s="36"/>
      <c r="D15" s="36"/>
      <c r="E15" s="36"/>
      <c r="H15" s="36"/>
      <c r="I15" s="36"/>
      <c r="K15" s="36"/>
      <c r="L15" s="36"/>
      <c r="M15" s="36"/>
    </row>
    <row r="20" spans="8:14" x14ac:dyDescent="0.3">
      <c r="H20" s="37"/>
      <c r="K20" s="37"/>
      <c r="L20" s="37"/>
      <c r="M20" s="37"/>
    </row>
    <row r="25" spans="8:14" x14ac:dyDescent="0.3">
      <c r="N25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F2AB-2F5F-4217-851F-A442BB0552F0}">
  <dimension ref="A1:N29"/>
  <sheetViews>
    <sheetView zoomScale="75" zoomScaleNormal="75" workbookViewId="0">
      <selection activeCell="D7" sqref="D7"/>
    </sheetView>
  </sheetViews>
  <sheetFormatPr defaultColWidth="27.5703125" defaultRowHeight="18.75" x14ac:dyDescent="0.3"/>
  <cols>
    <col min="1" max="1" width="16.5703125" style="36" customWidth="1"/>
    <col min="2" max="2" width="18.7109375" style="36" customWidth="1"/>
    <col min="3" max="5" width="16.5703125" style="36" customWidth="1"/>
    <col min="6" max="6" width="16.5703125" style="37" customWidth="1"/>
    <col min="7" max="7" width="16.28515625" style="37" bestFit="1" customWidth="1"/>
    <col min="8" max="8" width="16.5703125" style="36" customWidth="1"/>
    <col min="9" max="9" width="18.42578125" style="36" customWidth="1"/>
    <col min="10" max="10" width="15.140625" style="37" bestFit="1" customWidth="1"/>
    <col min="11" max="11" width="17" style="36" bestFit="1" customWidth="1"/>
    <col min="12" max="12" width="12.5703125" style="36" bestFit="1" customWidth="1"/>
    <col min="13" max="13" width="14.7109375" style="36" bestFit="1" customWidth="1"/>
    <col min="14" max="14" width="14.42578125" style="36" customWidth="1"/>
    <col min="15" max="16384" width="27.5703125" style="36"/>
  </cols>
  <sheetData>
    <row r="1" spans="1:14" ht="112.5" x14ac:dyDescent="0.3">
      <c r="A1" s="46" t="s">
        <v>273</v>
      </c>
      <c r="B1" s="46" t="s">
        <v>257</v>
      </c>
      <c r="C1" s="46" t="s">
        <v>258</v>
      </c>
      <c r="D1" s="46" t="s">
        <v>259</v>
      </c>
      <c r="E1" s="46" t="s">
        <v>260</v>
      </c>
      <c r="F1" s="76" t="s">
        <v>261</v>
      </c>
      <c r="G1" s="76" t="s">
        <v>262</v>
      </c>
      <c r="H1" s="46" t="s">
        <v>251</v>
      </c>
      <c r="I1" s="124" t="s">
        <v>274</v>
      </c>
      <c r="J1" s="76" t="s">
        <v>254</v>
      </c>
      <c r="K1" s="46" t="s">
        <v>227</v>
      </c>
      <c r="L1" s="85" t="s">
        <v>253</v>
      </c>
      <c r="M1" s="46" t="s">
        <v>255</v>
      </c>
      <c r="N1" s="122" t="s">
        <v>275</v>
      </c>
    </row>
    <row r="2" spans="1:14" s="37" customFormat="1" x14ac:dyDescent="0.3">
      <c r="A2" s="47"/>
      <c r="B2" s="35"/>
      <c r="C2" s="35"/>
      <c r="D2" s="35"/>
      <c r="E2" s="35"/>
      <c r="F2" s="35"/>
      <c r="G2" s="35">
        <v>5.35</v>
      </c>
      <c r="H2" s="35"/>
      <c r="I2" s="35">
        <v>213.15</v>
      </c>
      <c r="J2" s="35"/>
      <c r="K2" s="35">
        <v>62</v>
      </c>
      <c r="L2" s="35"/>
      <c r="M2" s="35"/>
      <c r="N2" s="35">
        <v>20000</v>
      </c>
    </row>
    <row r="3" spans="1:14" s="37" customFormat="1" x14ac:dyDescent="0.3">
      <c r="A3" s="47"/>
      <c r="B3" s="121">
        <v>31129</v>
      </c>
      <c r="C3" s="35"/>
      <c r="D3" s="121">
        <v>20150</v>
      </c>
      <c r="E3" s="35"/>
      <c r="F3" s="35">
        <v>17500</v>
      </c>
      <c r="G3" s="35">
        <v>32800</v>
      </c>
      <c r="H3" s="35"/>
      <c r="I3" s="35">
        <v>22000</v>
      </c>
      <c r="J3" s="35"/>
      <c r="K3" s="35">
        <v>279.22000000000003</v>
      </c>
      <c r="L3" s="35"/>
      <c r="M3" s="35"/>
      <c r="N3" s="35"/>
    </row>
    <row r="4" spans="1:14" s="37" customFormat="1" x14ac:dyDescent="0.3">
      <c r="A4" s="47"/>
      <c r="B4" s="121">
        <v>31278</v>
      </c>
      <c r="C4" s="35"/>
      <c r="D4" s="72"/>
      <c r="E4" s="35"/>
      <c r="F4" s="35">
        <v>16500</v>
      </c>
      <c r="G4" s="35">
        <v>13600</v>
      </c>
      <c r="H4" s="35">
        <v>246400</v>
      </c>
      <c r="I4" s="35">
        <v>3000</v>
      </c>
      <c r="J4" s="35"/>
      <c r="K4" s="35"/>
      <c r="L4" s="35"/>
      <c r="M4" s="35">
        <v>931.7</v>
      </c>
      <c r="N4" s="35"/>
    </row>
    <row r="5" spans="1:14" s="37" customFormat="1" x14ac:dyDescent="0.3">
      <c r="A5" s="121">
        <v>56616</v>
      </c>
      <c r="B5" s="35"/>
      <c r="C5" s="121">
        <v>10670</v>
      </c>
      <c r="D5" s="121">
        <v>18025</v>
      </c>
      <c r="E5" s="121">
        <v>14090</v>
      </c>
      <c r="F5" s="35"/>
      <c r="G5" s="35"/>
      <c r="H5" s="35">
        <v>244200</v>
      </c>
      <c r="I5" s="35">
        <v>3500</v>
      </c>
      <c r="J5" s="35"/>
      <c r="K5" s="35"/>
      <c r="L5" s="35"/>
      <c r="M5" s="35">
        <v>327.93</v>
      </c>
      <c r="N5" s="35"/>
    </row>
    <row r="6" spans="1:14" s="37" customFormat="1" x14ac:dyDescent="0.3">
      <c r="A6" s="121">
        <v>50112</v>
      </c>
      <c r="B6" s="35"/>
      <c r="C6" s="72"/>
      <c r="D6" s="121">
        <v>15200</v>
      </c>
      <c r="E6" s="121">
        <v>12459</v>
      </c>
      <c r="F6" s="35"/>
      <c r="G6" s="35"/>
      <c r="H6" s="35"/>
      <c r="I6" s="35">
        <v>1000</v>
      </c>
      <c r="J6" s="35"/>
      <c r="K6" s="35"/>
      <c r="L6" s="35"/>
      <c r="M6" s="35"/>
      <c r="N6" s="35"/>
    </row>
    <row r="7" spans="1:14" s="37" customFormat="1" x14ac:dyDescent="0.3">
      <c r="A7" s="47"/>
      <c r="B7" s="35"/>
      <c r="C7" s="121">
        <v>9745</v>
      </c>
      <c r="D7" s="35"/>
      <c r="E7" s="72"/>
      <c r="F7" s="35"/>
      <c r="G7" s="35"/>
      <c r="H7" s="35"/>
      <c r="I7" s="35"/>
      <c r="J7" s="35"/>
      <c r="K7" s="35"/>
      <c r="L7" s="35"/>
      <c r="M7" s="35"/>
      <c r="N7" s="35"/>
    </row>
    <row r="8" spans="1:14" s="37" customFormat="1" x14ac:dyDescent="0.3">
      <c r="A8" s="47"/>
      <c r="B8" s="35"/>
      <c r="C8" s="72"/>
      <c r="D8" s="35"/>
      <c r="E8" s="72"/>
      <c r="F8" s="35"/>
      <c r="G8" s="35"/>
      <c r="H8" s="35"/>
      <c r="I8" s="35"/>
      <c r="J8" s="35"/>
      <c r="K8" s="35">
        <v>518</v>
      </c>
      <c r="L8" s="35"/>
      <c r="M8" s="35"/>
      <c r="N8" s="35"/>
    </row>
    <row r="9" spans="1:14" s="37" customFormat="1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>
        <v>292.5</v>
      </c>
      <c r="L9" s="35"/>
      <c r="M9" s="35"/>
      <c r="N9" s="35"/>
    </row>
    <row r="10" spans="1:14" s="37" customFormat="1" x14ac:dyDescent="0.3">
      <c r="A10" s="120">
        <f t="shared" ref="A10:H10" si="0">SUM(A2:A9)</f>
        <v>106728</v>
      </c>
      <c r="B10" s="120">
        <f t="shared" si="0"/>
        <v>62407</v>
      </c>
      <c r="C10" s="120">
        <f t="shared" si="0"/>
        <v>20415</v>
      </c>
      <c r="D10" s="120">
        <f t="shared" si="0"/>
        <v>53375</v>
      </c>
      <c r="E10" s="120">
        <f t="shared" si="0"/>
        <v>26549</v>
      </c>
      <c r="F10" s="120">
        <f t="shared" si="0"/>
        <v>34000</v>
      </c>
      <c r="G10" s="120">
        <f t="shared" si="0"/>
        <v>46405.35</v>
      </c>
      <c r="H10" s="120">
        <f t="shared" si="0"/>
        <v>490600</v>
      </c>
      <c r="I10" s="35"/>
      <c r="J10" s="120">
        <f>SUM(J2:J9)</f>
        <v>0</v>
      </c>
      <c r="K10" s="35">
        <v>152</v>
      </c>
      <c r="L10" s="120">
        <f>SUM(L2:L9)</f>
        <v>0</v>
      </c>
      <c r="M10" s="120">
        <f>SUM(M2:M9)</f>
        <v>1259.6300000000001</v>
      </c>
      <c r="N10" s="120">
        <f>SUM(N2:N9)</f>
        <v>20000</v>
      </c>
    </row>
    <row r="11" spans="1:14" s="37" customFormat="1" x14ac:dyDescent="0.3">
      <c r="A11" s="36"/>
      <c r="B11" s="36"/>
      <c r="C11" s="36"/>
      <c r="D11" s="36"/>
      <c r="E11" s="36"/>
      <c r="H11" s="36"/>
      <c r="I11" s="35"/>
      <c r="K11" s="35">
        <v>52.6</v>
      </c>
      <c r="L11" s="36"/>
      <c r="M11" s="36"/>
    </row>
    <row r="12" spans="1:14" s="37" customFormat="1" x14ac:dyDescent="0.3">
      <c r="A12" s="36"/>
      <c r="B12" s="36"/>
      <c r="C12" s="36"/>
      <c r="D12" s="36"/>
      <c r="E12" s="36"/>
      <c r="H12" s="36"/>
      <c r="I12" s="35"/>
      <c r="K12" s="35">
        <v>133.19999999999999</v>
      </c>
      <c r="L12" s="36"/>
      <c r="M12" s="36"/>
    </row>
    <row r="13" spans="1:14" s="37" customFormat="1" x14ac:dyDescent="0.3">
      <c r="A13" s="36"/>
      <c r="B13" s="36"/>
      <c r="C13" s="36"/>
      <c r="D13" s="36"/>
      <c r="E13" s="36"/>
      <c r="H13" s="36"/>
      <c r="I13" s="35"/>
      <c r="K13" s="35">
        <v>1350.07</v>
      </c>
      <c r="L13" s="36"/>
      <c r="M13" s="36"/>
    </row>
    <row r="14" spans="1:14" s="37" customFormat="1" x14ac:dyDescent="0.3">
      <c r="A14" s="36"/>
      <c r="B14" s="36"/>
      <c r="C14" s="36"/>
      <c r="D14" s="36"/>
      <c r="E14" s="36"/>
      <c r="H14" s="36"/>
      <c r="I14" s="120">
        <f>SUM(I2:I13)</f>
        <v>29713.15</v>
      </c>
      <c r="K14" s="35">
        <v>200</v>
      </c>
      <c r="L14" s="36"/>
      <c r="M14" s="36"/>
    </row>
    <row r="15" spans="1:14" s="37" customFormat="1" x14ac:dyDescent="0.3">
      <c r="A15" s="36"/>
      <c r="B15" s="36"/>
      <c r="C15" s="36"/>
      <c r="D15" s="36"/>
      <c r="E15" s="36"/>
      <c r="H15" s="36"/>
      <c r="I15" s="36"/>
      <c r="K15" s="35">
        <v>200</v>
      </c>
      <c r="L15" s="36"/>
      <c r="M15" s="36"/>
    </row>
    <row r="16" spans="1:14" x14ac:dyDescent="0.3">
      <c r="K16" s="35">
        <v>70</v>
      </c>
    </row>
    <row r="17" spans="8:14" x14ac:dyDescent="0.3">
      <c r="K17" s="35">
        <v>26.17</v>
      </c>
    </row>
    <row r="18" spans="8:14" x14ac:dyDescent="0.3">
      <c r="K18" s="35"/>
    </row>
    <row r="19" spans="8:14" x14ac:dyDescent="0.3">
      <c r="K19" s="120">
        <f>SUM(K2:K18)</f>
        <v>3335.76</v>
      </c>
    </row>
    <row r="20" spans="8:14" x14ac:dyDescent="0.3">
      <c r="H20" s="37"/>
      <c r="L20" s="37"/>
      <c r="M20" s="37"/>
    </row>
    <row r="24" spans="8:14" x14ac:dyDescent="0.3">
      <c r="I24" s="37"/>
    </row>
    <row r="25" spans="8:14" x14ac:dyDescent="0.3">
      <c r="N25" s="37"/>
    </row>
    <row r="29" spans="8:14" x14ac:dyDescent="0.3">
      <c r="K29" s="37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AF24-28A4-4390-A00B-FB6012B4A698}">
  <dimension ref="A1:AJ47"/>
  <sheetViews>
    <sheetView topLeftCell="A4" zoomScale="90" zoomScaleNormal="90" workbookViewId="0">
      <selection activeCell="Q4" sqref="Q4"/>
    </sheetView>
  </sheetViews>
  <sheetFormatPr defaultColWidth="9" defaultRowHeight="18.75" x14ac:dyDescent="0.3"/>
  <cols>
    <col min="1" max="36" width="10.7109375" style="36" customWidth="1"/>
    <col min="37" max="16384" width="9" style="36"/>
  </cols>
  <sheetData>
    <row r="1" spans="1:35" ht="21.75" x14ac:dyDescent="0.5">
      <c r="A1" s="88" t="s">
        <v>215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</row>
    <row r="2" spans="1:35" ht="21.75" x14ac:dyDescent="0.3">
      <c r="A2" s="154" t="s">
        <v>182</v>
      </c>
      <c r="B2" s="154"/>
      <c r="C2" s="154"/>
      <c r="D2" s="154"/>
      <c r="E2" s="154"/>
      <c r="F2" s="154"/>
      <c r="G2" s="154"/>
      <c r="H2" s="155" t="s">
        <v>183</v>
      </c>
      <c r="I2" s="155"/>
      <c r="J2" s="155"/>
      <c r="K2" s="155"/>
      <c r="L2" s="156" t="s">
        <v>184</v>
      </c>
      <c r="M2" s="156"/>
      <c r="N2" s="156"/>
      <c r="O2" s="156"/>
      <c r="P2" s="156"/>
      <c r="Q2" s="156"/>
      <c r="R2" s="156"/>
      <c r="S2" s="157" t="s">
        <v>185</v>
      </c>
      <c r="T2" s="157"/>
      <c r="U2" s="157"/>
      <c r="V2" s="157"/>
      <c r="W2" s="157"/>
      <c r="X2" s="157"/>
      <c r="Y2" s="158" t="s">
        <v>186</v>
      </c>
      <c r="Z2" s="158"/>
      <c r="AA2" s="158"/>
      <c r="AB2" s="158"/>
      <c r="AC2" s="158"/>
      <c r="AD2" s="126"/>
      <c r="AE2" s="151" t="s">
        <v>187</v>
      </c>
      <c r="AF2" s="152"/>
      <c r="AG2" s="153"/>
      <c r="AH2" s="117"/>
      <c r="AI2" s="90"/>
    </row>
    <row r="3" spans="1:35" ht="217.5" x14ac:dyDescent="0.3">
      <c r="A3" s="91" t="s">
        <v>188</v>
      </c>
      <c r="B3" s="91" t="s">
        <v>189</v>
      </c>
      <c r="C3" s="91" t="s">
        <v>190</v>
      </c>
      <c r="D3" s="91" t="s">
        <v>191</v>
      </c>
      <c r="E3" s="91" t="s">
        <v>192</v>
      </c>
      <c r="F3" s="91" t="s">
        <v>193</v>
      </c>
      <c r="G3" s="91" t="s">
        <v>194</v>
      </c>
      <c r="H3" s="92" t="s">
        <v>263</v>
      </c>
      <c r="I3" s="93" t="s">
        <v>196</v>
      </c>
      <c r="J3" s="93" t="s">
        <v>197</v>
      </c>
      <c r="K3" s="94" t="s">
        <v>198</v>
      </c>
      <c r="L3" s="95" t="s">
        <v>199</v>
      </c>
      <c r="M3" s="95" t="s">
        <v>200</v>
      </c>
      <c r="N3" s="95" t="s">
        <v>201</v>
      </c>
      <c r="O3" s="95" t="s">
        <v>202</v>
      </c>
      <c r="P3" s="95" t="s">
        <v>203</v>
      </c>
      <c r="Q3" s="95" t="s">
        <v>204</v>
      </c>
      <c r="R3" s="95" t="s">
        <v>205</v>
      </c>
      <c r="S3" s="96" t="s">
        <v>206</v>
      </c>
      <c r="T3" s="97" t="s">
        <v>207</v>
      </c>
      <c r="U3" s="97" t="s">
        <v>132</v>
      </c>
      <c r="V3" s="97" t="s">
        <v>265</v>
      </c>
      <c r="W3" s="97" t="s">
        <v>208</v>
      </c>
      <c r="X3" s="97" t="s">
        <v>209</v>
      </c>
      <c r="Y3" s="98" t="s">
        <v>266</v>
      </c>
      <c r="Z3" s="98" t="s">
        <v>267</v>
      </c>
      <c r="AA3" s="98" t="s">
        <v>210</v>
      </c>
      <c r="AB3" s="98" t="s">
        <v>211</v>
      </c>
      <c r="AC3" s="98" t="s">
        <v>268</v>
      </c>
      <c r="AD3" s="98"/>
      <c r="AE3" s="99" t="s">
        <v>212</v>
      </c>
      <c r="AF3" s="99" t="s">
        <v>213</v>
      </c>
      <c r="AG3" s="99" t="s">
        <v>214</v>
      </c>
      <c r="AH3" s="118" t="s">
        <v>264</v>
      </c>
      <c r="AI3" s="100"/>
    </row>
    <row r="4" spans="1:35" ht="43.5" x14ac:dyDescent="0.5">
      <c r="A4" s="110">
        <v>1981</v>
      </c>
      <c r="B4" s="102"/>
      <c r="C4" s="101"/>
      <c r="D4" s="110">
        <v>45900</v>
      </c>
      <c r="E4" s="101"/>
      <c r="F4" s="110">
        <v>2500</v>
      </c>
      <c r="G4" s="101"/>
      <c r="H4" s="110">
        <v>12000</v>
      </c>
      <c r="I4" s="103"/>
      <c r="J4" s="110">
        <v>300</v>
      </c>
      <c r="K4" s="103"/>
      <c r="L4" s="110">
        <v>17301.689999999999</v>
      </c>
      <c r="M4" s="110">
        <v>14100</v>
      </c>
      <c r="N4" s="104"/>
      <c r="O4" s="104"/>
      <c r="P4" s="110">
        <v>54000</v>
      </c>
      <c r="Q4" s="110">
        <v>4830</v>
      </c>
      <c r="R4" s="104"/>
      <c r="S4" s="115">
        <v>6332.67</v>
      </c>
      <c r="T4" s="106"/>
      <c r="U4" s="110">
        <v>3415</v>
      </c>
      <c r="V4" s="110">
        <v>564.6</v>
      </c>
      <c r="W4" s="110">
        <v>365</v>
      </c>
      <c r="X4" s="106"/>
      <c r="Y4" s="110">
        <v>8000</v>
      </c>
      <c r="Z4" s="110">
        <v>39072</v>
      </c>
      <c r="AA4" s="110">
        <v>507.45</v>
      </c>
      <c r="AB4" s="110">
        <v>4500</v>
      </c>
      <c r="AC4" s="110">
        <v>29140</v>
      </c>
      <c r="AD4" s="110"/>
      <c r="AE4" s="108"/>
      <c r="AF4" s="89">
        <v>1615.74</v>
      </c>
      <c r="AG4" s="108"/>
      <c r="AH4" s="110">
        <v>20000</v>
      </c>
      <c r="AI4" s="88"/>
    </row>
    <row r="5" spans="1:35" ht="43.5" x14ac:dyDescent="0.5">
      <c r="A5" s="110">
        <v>2105</v>
      </c>
      <c r="B5" s="102"/>
      <c r="C5" s="101"/>
      <c r="D5" s="101"/>
      <c r="E5" s="101"/>
      <c r="F5" s="110">
        <v>11200</v>
      </c>
      <c r="G5" s="101"/>
      <c r="H5" s="110">
        <v>12000</v>
      </c>
      <c r="I5" s="103"/>
      <c r="J5" s="103"/>
      <c r="K5" s="103"/>
      <c r="L5" s="110">
        <v>600</v>
      </c>
      <c r="M5" s="110">
        <v>1000</v>
      </c>
      <c r="N5" s="104"/>
      <c r="O5" s="104"/>
      <c r="P5" s="104"/>
      <c r="Q5" s="110">
        <v>2150</v>
      </c>
      <c r="R5" s="104"/>
      <c r="S5" s="116">
        <v>5213.1099999999997</v>
      </c>
      <c r="T5" s="106"/>
      <c r="U5" s="110">
        <v>2520</v>
      </c>
      <c r="V5" s="110">
        <v>141</v>
      </c>
      <c r="W5" s="110">
        <v>840</v>
      </c>
      <c r="X5" s="106"/>
      <c r="Y5" s="110">
        <v>17000</v>
      </c>
      <c r="Z5" s="110">
        <v>9416</v>
      </c>
      <c r="AA5" s="107"/>
      <c r="AB5" s="110">
        <v>3500</v>
      </c>
      <c r="AC5" s="110">
        <v>37840</v>
      </c>
      <c r="AD5" s="110"/>
      <c r="AE5" s="108"/>
      <c r="AF5" s="109"/>
      <c r="AG5" s="108"/>
      <c r="AH5" s="119"/>
      <c r="AI5" s="88"/>
    </row>
    <row r="6" spans="1:35" ht="43.5" x14ac:dyDescent="0.5">
      <c r="A6" s="110">
        <v>2534</v>
      </c>
      <c r="B6" s="102"/>
      <c r="C6" s="101"/>
      <c r="D6" s="101"/>
      <c r="E6" s="101"/>
      <c r="F6" s="110">
        <v>14280</v>
      </c>
      <c r="G6" s="101"/>
      <c r="H6" s="110">
        <v>12000</v>
      </c>
      <c r="I6" s="103"/>
      <c r="J6" s="103"/>
      <c r="K6" s="103"/>
      <c r="L6" s="104"/>
      <c r="M6" s="110">
        <v>2000</v>
      </c>
      <c r="N6" s="104"/>
      <c r="O6" s="104"/>
      <c r="P6" s="104"/>
      <c r="Q6" s="110">
        <v>1825</v>
      </c>
      <c r="R6" s="104"/>
      <c r="S6" s="116">
        <v>6802.61</v>
      </c>
      <c r="T6" s="106"/>
      <c r="U6" s="106"/>
      <c r="V6" s="110">
        <v>281</v>
      </c>
      <c r="W6" s="110">
        <v>645</v>
      </c>
      <c r="X6" s="106"/>
      <c r="Y6" s="110">
        <v>24500</v>
      </c>
      <c r="Z6" s="110">
        <v>53240</v>
      </c>
      <c r="AA6" s="107"/>
      <c r="AB6" s="110">
        <v>8500</v>
      </c>
      <c r="AC6" s="107"/>
      <c r="AD6" s="107"/>
      <c r="AE6" s="108"/>
      <c r="AF6" s="108"/>
      <c r="AG6" s="108"/>
      <c r="AH6" s="119"/>
      <c r="AI6" s="88"/>
    </row>
    <row r="7" spans="1:35" ht="43.5" x14ac:dyDescent="0.5">
      <c r="A7" s="110">
        <v>4530</v>
      </c>
      <c r="B7" s="102"/>
      <c r="C7" s="101"/>
      <c r="D7" s="101"/>
      <c r="E7" s="101"/>
      <c r="F7" s="110">
        <v>5400</v>
      </c>
      <c r="G7" s="101"/>
      <c r="H7" s="110">
        <v>12000</v>
      </c>
      <c r="I7" s="103"/>
      <c r="J7" s="103"/>
      <c r="K7" s="103"/>
      <c r="L7" s="104"/>
      <c r="M7" s="110">
        <v>16900</v>
      </c>
      <c r="N7" s="104"/>
      <c r="O7" s="104"/>
      <c r="P7" s="104"/>
      <c r="Q7" s="110">
        <v>1840</v>
      </c>
      <c r="R7" s="104"/>
      <c r="S7" s="115">
        <v>4355.62</v>
      </c>
      <c r="T7" s="106"/>
      <c r="U7" s="106"/>
      <c r="V7" s="110">
        <v>713.02</v>
      </c>
      <c r="W7" s="110">
        <v>2890</v>
      </c>
      <c r="X7" s="106"/>
      <c r="Y7" s="107"/>
      <c r="Z7" s="110">
        <v>49500</v>
      </c>
      <c r="AA7" s="107"/>
      <c r="AB7" s="110">
        <v>8000</v>
      </c>
      <c r="AC7" s="107"/>
      <c r="AD7" s="107"/>
      <c r="AE7" s="108"/>
      <c r="AF7" s="108"/>
      <c r="AG7" s="108"/>
      <c r="AH7" s="119"/>
      <c r="AI7" s="88"/>
    </row>
    <row r="8" spans="1:35" ht="43.5" x14ac:dyDescent="0.5">
      <c r="A8" s="110">
        <v>3390</v>
      </c>
      <c r="B8" s="102"/>
      <c r="C8" s="101"/>
      <c r="D8" s="101"/>
      <c r="E8" s="101"/>
      <c r="F8" s="101"/>
      <c r="G8" s="101"/>
      <c r="H8" s="110">
        <v>6000</v>
      </c>
      <c r="I8" s="103"/>
      <c r="J8" s="103"/>
      <c r="K8" s="103"/>
      <c r="L8" s="104"/>
      <c r="M8" s="110">
        <v>2900</v>
      </c>
      <c r="N8" s="104"/>
      <c r="O8" s="104"/>
      <c r="P8" s="104"/>
      <c r="Q8" s="104"/>
      <c r="R8" s="104"/>
      <c r="S8" s="115">
        <v>4186.34</v>
      </c>
      <c r="T8" s="106"/>
      <c r="U8" s="106"/>
      <c r="V8" s="110">
        <v>142.80000000000001</v>
      </c>
      <c r="W8" s="110">
        <v>4715</v>
      </c>
      <c r="X8" s="106"/>
      <c r="Y8" s="107"/>
      <c r="Z8" s="110">
        <v>39600</v>
      </c>
      <c r="AA8" s="107"/>
      <c r="AB8" s="110">
        <v>4500</v>
      </c>
      <c r="AC8" s="107"/>
      <c r="AD8" s="107"/>
      <c r="AE8" s="108"/>
      <c r="AF8" s="108"/>
      <c r="AG8" s="108"/>
      <c r="AH8" s="119"/>
      <c r="AI8" s="88"/>
    </row>
    <row r="9" spans="1:35" ht="43.5" x14ac:dyDescent="0.5">
      <c r="A9" s="110">
        <v>500</v>
      </c>
      <c r="B9" s="102"/>
      <c r="C9" s="101"/>
      <c r="D9" s="101"/>
      <c r="E9" s="101"/>
      <c r="F9" s="101"/>
      <c r="G9" s="101"/>
      <c r="H9" s="110">
        <v>6000</v>
      </c>
      <c r="I9" s="103"/>
      <c r="J9" s="103"/>
      <c r="K9" s="103"/>
      <c r="L9" s="104"/>
      <c r="M9" s="110">
        <v>1200</v>
      </c>
      <c r="N9" s="104"/>
      <c r="O9" s="104"/>
      <c r="P9" s="104"/>
      <c r="Q9" s="104"/>
      <c r="R9" s="104"/>
      <c r="S9" s="115">
        <v>7613.09</v>
      </c>
      <c r="T9" s="106"/>
      <c r="U9" s="106"/>
      <c r="V9" s="106"/>
      <c r="W9" s="110">
        <v>322</v>
      </c>
      <c r="X9" s="106"/>
      <c r="Y9" s="107"/>
      <c r="Z9" s="110">
        <v>49500</v>
      </c>
      <c r="AA9" s="107"/>
      <c r="AB9" s="110">
        <v>1000</v>
      </c>
      <c r="AC9" s="107"/>
      <c r="AD9" s="107"/>
      <c r="AE9" s="108"/>
      <c r="AF9" s="108"/>
      <c r="AG9" s="108"/>
      <c r="AH9" s="119"/>
      <c r="AI9" s="88"/>
    </row>
    <row r="10" spans="1:35" ht="43.5" x14ac:dyDescent="0.5">
      <c r="A10" s="110">
        <v>1500</v>
      </c>
      <c r="B10" s="102"/>
      <c r="C10" s="101"/>
      <c r="D10" s="101"/>
      <c r="E10" s="101"/>
      <c r="F10" s="101"/>
      <c r="G10" s="101"/>
      <c r="H10" s="103"/>
      <c r="I10" s="103"/>
      <c r="J10" s="103"/>
      <c r="K10" s="103"/>
      <c r="L10" s="104"/>
      <c r="M10" s="110">
        <v>9000</v>
      </c>
      <c r="N10" s="104"/>
      <c r="O10" s="104"/>
      <c r="P10" s="104"/>
      <c r="Q10" s="104"/>
      <c r="R10" s="104"/>
      <c r="S10" s="105"/>
      <c r="T10" s="106"/>
      <c r="U10" s="106"/>
      <c r="V10" s="106"/>
      <c r="W10" s="110">
        <v>1200</v>
      </c>
      <c r="X10" s="106"/>
      <c r="Y10" s="107"/>
      <c r="Z10" s="110">
        <v>34650</v>
      </c>
      <c r="AA10" s="107"/>
      <c r="AB10" s="110">
        <v>2095</v>
      </c>
      <c r="AC10" s="107"/>
      <c r="AD10" s="107"/>
      <c r="AE10" s="108"/>
      <c r="AF10" s="108"/>
      <c r="AG10" s="108"/>
      <c r="AH10" s="119"/>
      <c r="AI10" s="88"/>
    </row>
    <row r="11" spans="1:35" ht="43.5" x14ac:dyDescent="0.5">
      <c r="A11" s="110">
        <v>1890</v>
      </c>
      <c r="B11" s="102"/>
      <c r="C11" s="101"/>
      <c r="D11" s="101"/>
      <c r="E11" s="101"/>
      <c r="F11" s="101"/>
      <c r="G11" s="101"/>
      <c r="H11" s="103"/>
      <c r="I11" s="103"/>
      <c r="J11" s="103"/>
      <c r="K11" s="103"/>
      <c r="L11" s="104"/>
      <c r="M11" s="110">
        <v>4600</v>
      </c>
      <c r="N11" s="104"/>
      <c r="O11" s="104"/>
      <c r="P11" s="104"/>
      <c r="Q11" s="104"/>
      <c r="R11" s="104"/>
      <c r="S11" s="105"/>
      <c r="T11" s="106"/>
      <c r="U11" s="106"/>
      <c r="V11" s="106"/>
      <c r="W11" s="106"/>
      <c r="X11" s="106"/>
      <c r="Y11" s="107"/>
      <c r="Z11" s="110">
        <v>74250</v>
      </c>
      <c r="AA11" s="107"/>
      <c r="AB11" s="110">
        <v>4800</v>
      </c>
      <c r="AC11" s="107"/>
      <c r="AD11" s="107"/>
      <c r="AE11" s="108"/>
      <c r="AF11" s="108"/>
      <c r="AG11" s="108"/>
      <c r="AH11" s="119"/>
      <c r="AI11" s="88"/>
    </row>
    <row r="12" spans="1:35" ht="43.5" x14ac:dyDescent="0.5">
      <c r="A12" s="110">
        <v>3195</v>
      </c>
      <c r="B12" s="102"/>
      <c r="C12" s="101"/>
      <c r="D12" s="101"/>
      <c r="E12" s="101"/>
      <c r="F12" s="101"/>
      <c r="G12" s="101"/>
      <c r="H12" s="103"/>
      <c r="I12" s="103"/>
      <c r="J12" s="103"/>
      <c r="K12" s="103"/>
      <c r="L12" s="104"/>
      <c r="M12" s="110">
        <v>2120</v>
      </c>
      <c r="N12" s="104"/>
      <c r="O12" s="104"/>
      <c r="P12" s="104"/>
      <c r="Q12" s="104"/>
      <c r="R12" s="104"/>
      <c r="S12" s="105"/>
      <c r="T12" s="106"/>
      <c r="U12" s="106"/>
      <c r="V12" s="106"/>
      <c r="W12" s="106"/>
      <c r="X12" s="106"/>
      <c r="Y12" s="107"/>
      <c r="Z12" s="110">
        <v>39600</v>
      </c>
      <c r="AA12" s="107"/>
      <c r="AB12" s="110">
        <v>805</v>
      </c>
      <c r="AC12" s="107"/>
      <c r="AD12" s="107"/>
      <c r="AE12" s="108"/>
      <c r="AF12" s="108"/>
      <c r="AG12" s="108"/>
      <c r="AH12" s="119"/>
      <c r="AI12" s="88"/>
    </row>
    <row r="13" spans="1:35" ht="43.5" x14ac:dyDescent="0.5">
      <c r="A13" s="110">
        <v>4800</v>
      </c>
      <c r="B13" s="102"/>
      <c r="C13" s="101"/>
      <c r="D13" s="101"/>
      <c r="E13" s="101"/>
      <c r="F13" s="101"/>
      <c r="G13" s="101"/>
      <c r="H13" s="103"/>
      <c r="I13" s="103"/>
      <c r="J13" s="103"/>
      <c r="K13" s="103"/>
      <c r="L13" s="104"/>
      <c r="M13" s="110">
        <v>4150</v>
      </c>
      <c r="N13" s="104"/>
      <c r="O13" s="104"/>
      <c r="P13" s="104"/>
      <c r="Q13" s="104"/>
      <c r="R13" s="104"/>
      <c r="S13" s="105"/>
      <c r="T13" s="106"/>
      <c r="U13" s="106"/>
      <c r="V13" s="106"/>
      <c r="W13" s="106"/>
      <c r="X13" s="106"/>
      <c r="Y13" s="107"/>
      <c r="Z13" s="110">
        <v>49500</v>
      </c>
      <c r="AA13" s="107"/>
      <c r="AB13" s="110">
        <v>1800</v>
      </c>
      <c r="AC13" s="107"/>
      <c r="AD13" s="107"/>
      <c r="AE13" s="108"/>
      <c r="AF13" s="108"/>
      <c r="AG13" s="108"/>
      <c r="AH13" s="119"/>
      <c r="AI13" s="88"/>
    </row>
    <row r="14" spans="1:35" ht="43.5" x14ac:dyDescent="0.5">
      <c r="A14" s="110">
        <v>1939</v>
      </c>
      <c r="B14" s="102"/>
      <c r="C14" s="101"/>
      <c r="D14" s="101"/>
      <c r="E14" s="101"/>
      <c r="F14" s="101"/>
      <c r="G14" s="101"/>
      <c r="H14" s="103"/>
      <c r="I14" s="103"/>
      <c r="J14" s="103"/>
      <c r="K14" s="103"/>
      <c r="L14" s="104"/>
      <c r="M14" s="104"/>
      <c r="N14" s="104"/>
      <c r="O14" s="104"/>
      <c r="P14" s="104"/>
      <c r="Q14" s="104"/>
      <c r="R14" s="104"/>
      <c r="S14" s="105"/>
      <c r="T14" s="106"/>
      <c r="U14" s="106"/>
      <c r="V14" s="106"/>
      <c r="W14" s="106"/>
      <c r="X14" s="106"/>
      <c r="Y14" s="107"/>
      <c r="Z14" s="110">
        <v>49500</v>
      </c>
      <c r="AA14" s="107"/>
      <c r="AB14" s="110">
        <v>3025</v>
      </c>
      <c r="AC14" s="107"/>
      <c r="AD14" s="107"/>
      <c r="AE14" s="108"/>
      <c r="AF14" s="108"/>
      <c r="AG14" s="108"/>
      <c r="AH14" s="119"/>
      <c r="AI14" s="88"/>
    </row>
    <row r="15" spans="1:35" ht="43.5" x14ac:dyDescent="0.5">
      <c r="A15" s="110">
        <v>3585</v>
      </c>
      <c r="B15" s="102"/>
      <c r="C15" s="101"/>
      <c r="D15" s="101"/>
      <c r="E15" s="101"/>
      <c r="F15" s="101"/>
      <c r="G15" s="101"/>
      <c r="H15" s="103"/>
      <c r="I15" s="103"/>
      <c r="J15" s="103"/>
      <c r="K15" s="103"/>
      <c r="L15" s="104"/>
      <c r="M15" s="104"/>
      <c r="N15" s="104"/>
      <c r="O15" s="104"/>
      <c r="P15" s="104"/>
      <c r="Q15" s="104"/>
      <c r="R15" s="104"/>
      <c r="S15" s="106"/>
      <c r="T15" s="106"/>
      <c r="U15" s="106"/>
      <c r="V15" s="106"/>
      <c r="W15" s="106"/>
      <c r="X15" s="106"/>
      <c r="Y15" s="107"/>
      <c r="Z15" s="110">
        <v>54450</v>
      </c>
      <c r="AA15" s="107"/>
      <c r="AB15" s="107"/>
      <c r="AC15" s="107"/>
      <c r="AD15" s="107"/>
      <c r="AE15" s="108"/>
      <c r="AF15" s="108"/>
      <c r="AG15" s="108"/>
      <c r="AH15" s="119"/>
      <c r="AI15" s="88"/>
    </row>
    <row r="16" spans="1:35" ht="21.75" x14ac:dyDescent="0.5">
      <c r="A16" s="110">
        <v>3407</v>
      </c>
      <c r="B16" s="102"/>
      <c r="C16" s="101"/>
      <c r="D16" s="101"/>
      <c r="E16" s="101"/>
      <c r="F16" s="101"/>
      <c r="G16" s="101"/>
      <c r="H16" s="103"/>
      <c r="I16" s="103"/>
      <c r="J16" s="103"/>
      <c r="K16" s="103"/>
      <c r="L16" s="104"/>
      <c r="M16" s="104"/>
      <c r="N16" s="104"/>
      <c r="O16" s="104"/>
      <c r="P16" s="104"/>
      <c r="Q16" s="104"/>
      <c r="R16" s="104"/>
      <c r="S16" s="106"/>
      <c r="T16" s="106"/>
      <c r="U16" s="106"/>
      <c r="V16" s="106"/>
      <c r="W16" s="106"/>
      <c r="X16" s="106"/>
      <c r="Y16" s="107"/>
      <c r="Z16" s="107"/>
      <c r="AA16" s="107"/>
      <c r="AB16" s="107"/>
      <c r="AC16" s="107"/>
      <c r="AD16" s="107"/>
      <c r="AE16" s="108"/>
      <c r="AF16" s="108"/>
      <c r="AG16" s="108"/>
      <c r="AH16" s="119"/>
      <c r="AI16" s="88"/>
    </row>
    <row r="17" spans="1:36" ht="21.75" x14ac:dyDescent="0.5">
      <c r="A17" s="110">
        <v>1029</v>
      </c>
      <c r="B17" s="102"/>
      <c r="C17" s="101"/>
      <c r="D17" s="101"/>
      <c r="E17" s="101"/>
      <c r="F17" s="101"/>
      <c r="G17" s="101"/>
      <c r="H17" s="103"/>
      <c r="I17" s="103"/>
      <c r="J17" s="103"/>
      <c r="K17" s="103"/>
      <c r="L17" s="104"/>
      <c r="M17" s="104"/>
      <c r="N17" s="104"/>
      <c r="O17" s="104"/>
      <c r="P17" s="104"/>
      <c r="Q17" s="104"/>
      <c r="R17" s="104"/>
      <c r="S17" s="106"/>
      <c r="T17" s="106"/>
      <c r="U17" s="106"/>
      <c r="V17" s="106"/>
      <c r="W17" s="106"/>
      <c r="X17" s="106"/>
      <c r="Y17" s="107"/>
      <c r="Z17" s="107"/>
      <c r="AA17" s="107"/>
      <c r="AB17" s="107"/>
      <c r="AC17" s="107"/>
      <c r="AD17" s="107"/>
      <c r="AE17" s="108"/>
      <c r="AF17" s="108"/>
      <c r="AG17" s="108"/>
      <c r="AH17" s="119"/>
      <c r="AI17" s="88"/>
    </row>
    <row r="18" spans="1:36" ht="43.5" x14ac:dyDescent="0.5">
      <c r="A18" s="110">
        <v>1865</v>
      </c>
      <c r="B18" s="102"/>
      <c r="C18" s="101"/>
      <c r="D18" s="101"/>
      <c r="E18" s="101"/>
      <c r="F18" s="101"/>
      <c r="G18" s="101"/>
      <c r="H18" s="103"/>
      <c r="I18" s="103"/>
      <c r="J18" s="103"/>
      <c r="K18" s="103"/>
      <c r="L18" s="104"/>
      <c r="M18" s="104"/>
      <c r="N18" s="104"/>
      <c r="O18" s="104"/>
      <c r="P18" s="104"/>
      <c r="Q18" s="104"/>
      <c r="R18" s="104"/>
      <c r="S18" s="106"/>
      <c r="T18" s="106"/>
      <c r="U18" s="106"/>
      <c r="V18" s="106"/>
      <c r="W18" s="106"/>
      <c r="X18" s="106"/>
      <c r="Y18" s="107"/>
      <c r="Z18" s="107"/>
      <c r="AA18" s="107"/>
      <c r="AB18" s="107"/>
      <c r="AC18" s="107"/>
      <c r="AD18" s="107"/>
      <c r="AE18" s="108"/>
      <c r="AF18" s="108"/>
      <c r="AG18" s="108"/>
      <c r="AH18" s="119"/>
      <c r="AI18" s="88"/>
    </row>
    <row r="19" spans="1:36" ht="21.75" x14ac:dyDescent="0.5">
      <c r="A19" s="110">
        <v>1950</v>
      </c>
      <c r="B19" s="102"/>
      <c r="C19" s="101"/>
      <c r="D19" s="101"/>
      <c r="E19" s="101"/>
      <c r="F19" s="101"/>
      <c r="G19" s="101"/>
      <c r="H19" s="103"/>
      <c r="I19" s="103"/>
      <c r="J19" s="103"/>
      <c r="K19" s="103"/>
      <c r="L19" s="104"/>
      <c r="M19" s="104"/>
      <c r="N19" s="104"/>
      <c r="O19" s="104"/>
      <c r="P19" s="104"/>
      <c r="Q19" s="104"/>
      <c r="R19" s="104"/>
      <c r="S19" s="106"/>
      <c r="T19" s="106"/>
      <c r="U19" s="106"/>
      <c r="V19" s="106"/>
      <c r="W19" s="106"/>
      <c r="X19" s="106"/>
      <c r="Y19" s="107"/>
      <c r="Z19" s="107"/>
      <c r="AA19" s="107"/>
      <c r="AB19" s="107"/>
      <c r="AC19" s="107"/>
      <c r="AD19" s="107"/>
      <c r="AE19" s="108"/>
      <c r="AF19" s="108"/>
      <c r="AG19" s="108"/>
      <c r="AH19" s="119"/>
      <c r="AI19" s="88"/>
    </row>
    <row r="20" spans="1:36" ht="21.75" x14ac:dyDescent="0.5">
      <c r="A20" s="101"/>
      <c r="B20" s="102"/>
      <c r="C20" s="101"/>
      <c r="D20" s="101"/>
      <c r="E20" s="101"/>
      <c r="F20" s="101"/>
      <c r="G20" s="101"/>
      <c r="H20" s="103"/>
      <c r="I20" s="103"/>
      <c r="J20" s="103"/>
      <c r="K20" s="103"/>
      <c r="L20" s="104"/>
      <c r="M20" s="104"/>
      <c r="N20" s="104"/>
      <c r="O20" s="104"/>
      <c r="P20" s="104"/>
      <c r="Q20" s="104"/>
      <c r="R20" s="104"/>
      <c r="S20" s="106"/>
      <c r="T20" s="106"/>
      <c r="U20" s="106"/>
      <c r="V20" s="106"/>
      <c r="W20" s="106"/>
      <c r="X20" s="106"/>
      <c r="Y20" s="107"/>
      <c r="Z20" s="107"/>
      <c r="AA20" s="107"/>
      <c r="AB20" s="107"/>
      <c r="AC20" s="107"/>
      <c r="AD20" s="107"/>
      <c r="AE20" s="108"/>
      <c r="AF20" s="108"/>
      <c r="AG20" s="108"/>
      <c r="AH20" s="119"/>
      <c r="AI20" s="88"/>
    </row>
    <row r="21" spans="1:36" ht="43.5" x14ac:dyDescent="0.5">
      <c r="A21" s="112">
        <f t="shared" ref="A21:AH21" si="0">SUM(A4:A19)</f>
        <v>40200</v>
      </c>
      <c r="B21" s="112">
        <f t="shared" si="0"/>
        <v>0</v>
      </c>
      <c r="C21" s="112">
        <f t="shared" si="0"/>
        <v>0</v>
      </c>
      <c r="D21" s="112">
        <f t="shared" si="0"/>
        <v>45900</v>
      </c>
      <c r="E21" s="112">
        <f t="shared" si="0"/>
        <v>0</v>
      </c>
      <c r="F21" s="112">
        <f t="shared" si="0"/>
        <v>33380</v>
      </c>
      <c r="G21" s="112">
        <f t="shared" si="0"/>
        <v>0</v>
      </c>
      <c r="H21" s="112">
        <f t="shared" si="0"/>
        <v>60000</v>
      </c>
      <c r="I21" s="113">
        <f t="shared" si="0"/>
        <v>0</v>
      </c>
      <c r="J21" s="113">
        <f t="shared" si="0"/>
        <v>300</v>
      </c>
      <c r="K21" s="113">
        <f t="shared" si="0"/>
        <v>0</v>
      </c>
      <c r="L21" s="113">
        <f t="shared" si="0"/>
        <v>17901.689999999999</v>
      </c>
      <c r="M21" s="113">
        <f t="shared" si="0"/>
        <v>57970</v>
      </c>
      <c r="N21" s="113">
        <f t="shared" si="0"/>
        <v>0</v>
      </c>
      <c r="O21" s="113">
        <f t="shared" si="0"/>
        <v>0</v>
      </c>
      <c r="P21" s="113">
        <f t="shared" si="0"/>
        <v>54000</v>
      </c>
      <c r="Q21" s="113">
        <f t="shared" si="0"/>
        <v>10645</v>
      </c>
      <c r="R21" s="113">
        <f t="shared" si="0"/>
        <v>0</v>
      </c>
      <c r="S21" s="113">
        <f t="shared" si="0"/>
        <v>34503.440000000002</v>
      </c>
      <c r="T21" s="113">
        <f t="shared" si="0"/>
        <v>0</v>
      </c>
      <c r="U21" s="113">
        <f t="shared" si="0"/>
        <v>5935</v>
      </c>
      <c r="V21" s="113">
        <f t="shared" si="0"/>
        <v>1842.4199999999998</v>
      </c>
      <c r="W21" s="113">
        <f t="shared" si="0"/>
        <v>10977</v>
      </c>
      <c r="X21" s="113">
        <f t="shared" si="0"/>
        <v>0</v>
      </c>
      <c r="Y21" s="113">
        <f t="shared" si="0"/>
        <v>49500</v>
      </c>
      <c r="Z21" s="113">
        <f t="shared" si="0"/>
        <v>542278</v>
      </c>
      <c r="AA21" s="113">
        <f t="shared" si="0"/>
        <v>507.45</v>
      </c>
      <c r="AB21" s="113">
        <f t="shared" si="0"/>
        <v>42525</v>
      </c>
      <c r="AC21" s="113">
        <f t="shared" si="0"/>
        <v>66980</v>
      </c>
      <c r="AD21" s="113"/>
      <c r="AE21" s="113">
        <f t="shared" si="0"/>
        <v>0</v>
      </c>
      <c r="AF21" s="113">
        <f t="shared" si="0"/>
        <v>1615.74</v>
      </c>
      <c r="AG21" s="113">
        <f t="shared" si="0"/>
        <v>0</v>
      </c>
      <c r="AH21" s="113">
        <f t="shared" si="0"/>
        <v>20000</v>
      </c>
      <c r="AI21" s="114"/>
    </row>
    <row r="22" spans="1:36" ht="21.75" x14ac:dyDescent="0.5">
      <c r="A22" s="88" t="s">
        <v>216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</row>
    <row r="23" spans="1:36" ht="21.75" customHeight="1" x14ac:dyDescent="0.5">
      <c r="A23" s="159" t="s">
        <v>182</v>
      </c>
      <c r="B23" s="160"/>
      <c r="C23" s="160"/>
      <c r="D23" s="160"/>
      <c r="E23" s="160"/>
      <c r="F23" s="160"/>
      <c r="G23" s="161"/>
      <c r="H23" s="155" t="s">
        <v>183</v>
      </c>
      <c r="I23" s="155"/>
      <c r="J23" s="155"/>
      <c r="K23" s="155"/>
      <c r="L23" s="156" t="s">
        <v>184</v>
      </c>
      <c r="M23" s="156"/>
      <c r="N23" s="156"/>
      <c r="O23" s="156"/>
      <c r="P23" s="156"/>
      <c r="Q23" s="156"/>
      <c r="R23" s="156"/>
      <c r="S23" s="157" t="s">
        <v>185</v>
      </c>
      <c r="T23" s="157"/>
      <c r="U23" s="157"/>
      <c r="V23" s="157"/>
      <c r="W23" s="157"/>
      <c r="X23" s="157"/>
      <c r="Y23" s="158" t="s">
        <v>186</v>
      </c>
      <c r="Z23" s="158"/>
      <c r="AA23" s="158"/>
      <c r="AB23" s="158"/>
      <c r="AC23" s="158"/>
      <c r="AD23" s="126"/>
      <c r="AE23" s="151" t="s">
        <v>187</v>
      </c>
      <c r="AF23" s="152"/>
      <c r="AG23" s="153"/>
      <c r="AH23" s="104"/>
      <c r="AI23" s="104"/>
    </row>
    <row r="24" spans="1:36" ht="193.5" x14ac:dyDescent="0.5">
      <c r="A24" s="91" t="s">
        <v>188</v>
      </c>
      <c r="B24" s="91" t="s">
        <v>189</v>
      </c>
      <c r="C24" s="91" t="s">
        <v>190</v>
      </c>
      <c r="D24" s="91" t="s">
        <v>191</v>
      </c>
      <c r="E24" s="91" t="s">
        <v>192</v>
      </c>
      <c r="F24" s="91" t="s">
        <v>193</v>
      </c>
      <c r="G24" s="91" t="s">
        <v>194</v>
      </c>
      <c r="H24" s="92" t="s">
        <v>195</v>
      </c>
      <c r="I24" s="93" t="s">
        <v>196</v>
      </c>
      <c r="J24" s="93" t="s">
        <v>197</v>
      </c>
      <c r="K24" s="93" t="s">
        <v>198</v>
      </c>
      <c r="L24" s="95" t="s">
        <v>199</v>
      </c>
      <c r="M24" s="95" t="s">
        <v>200</v>
      </c>
      <c r="N24" s="95" t="s">
        <v>201</v>
      </c>
      <c r="O24" s="95" t="s">
        <v>202</v>
      </c>
      <c r="P24" s="95" t="s">
        <v>203</v>
      </c>
      <c r="Q24" s="95" t="s">
        <v>204</v>
      </c>
      <c r="R24" s="95" t="s">
        <v>205</v>
      </c>
      <c r="S24" s="96" t="s">
        <v>206</v>
      </c>
      <c r="T24" s="97" t="s">
        <v>207</v>
      </c>
      <c r="U24" s="97" t="s">
        <v>132</v>
      </c>
      <c r="V24" s="97" t="s">
        <v>265</v>
      </c>
      <c r="W24" s="97" t="s">
        <v>208</v>
      </c>
      <c r="X24" s="97" t="s">
        <v>209</v>
      </c>
      <c r="Y24" s="98" t="s">
        <v>266</v>
      </c>
      <c r="Z24" s="98" t="s">
        <v>267</v>
      </c>
      <c r="AA24" s="98" t="s">
        <v>210</v>
      </c>
      <c r="AB24" s="98" t="s">
        <v>211</v>
      </c>
      <c r="AC24" s="98" t="s">
        <v>268</v>
      </c>
      <c r="AD24" s="98" t="s">
        <v>276</v>
      </c>
      <c r="AE24" s="99" t="s">
        <v>212</v>
      </c>
      <c r="AF24" s="99" t="s">
        <v>213</v>
      </c>
      <c r="AG24" s="99" t="s">
        <v>214</v>
      </c>
      <c r="AH24" s="104" t="s">
        <v>136</v>
      </c>
      <c r="AI24" s="104" t="s">
        <v>277</v>
      </c>
      <c r="AJ24" s="127">
        <v>6.1</v>
      </c>
    </row>
    <row r="25" spans="1:36" ht="43.5" x14ac:dyDescent="0.5">
      <c r="A25" s="101">
        <v>5628</v>
      </c>
      <c r="B25" s="102"/>
      <c r="C25" s="101">
        <v>135007</v>
      </c>
      <c r="D25" s="101">
        <v>44430</v>
      </c>
      <c r="E25" s="101">
        <v>83850</v>
      </c>
      <c r="F25" s="101">
        <v>7000</v>
      </c>
      <c r="G25" s="101"/>
      <c r="H25" s="103">
        <v>6000</v>
      </c>
      <c r="I25" s="103"/>
      <c r="J25" s="103"/>
      <c r="K25" s="103"/>
      <c r="L25" s="104">
        <v>55426</v>
      </c>
      <c r="M25" s="104">
        <v>29250</v>
      </c>
      <c r="N25" s="104"/>
      <c r="O25" s="104">
        <v>1800</v>
      </c>
      <c r="P25" s="104"/>
      <c r="Q25" s="104">
        <v>3100</v>
      </c>
      <c r="R25" s="104"/>
      <c r="S25" s="105">
        <v>5234.0200000000004</v>
      </c>
      <c r="T25" s="106"/>
      <c r="U25" s="106"/>
      <c r="V25" s="106">
        <v>518</v>
      </c>
      <c r="W25" s="106">
        <v>3600</v>
      </c>
      <c r="X25" s="106"/>
      <c r="Y25" s="107">
        <v>17500</v>
      </c>
      <c r="Z25" s="107"/>
      <c r="AA25" s="107">
        <v>280</v>
      </c>
      <c r="AB25" s="107">
        <v>720</v>
      </c>
      <c r="AC25" s="107">
        <v>32800</v>
      </c>
      <c r="AD25" s="125">
        <v>22000</v>
      </c>
      <c r="AE25" s="108"/>
      <c r="AF25" s="109">
        <v>1259.6300000000001</v>
      </c>
      <c r="AG25" s="108"/>
      <c r="AH25" s="104"/>
      <c r="AI25" s="104">
        <v>720</v>
      </c>
      <c r="AJ25" s="36">
        <v>110</v>
      </c>
    </row>
    <row r="26" spans="1:36" ht="43.5" x14ac:dyDescent="0.5">
      <c r="A26" s="101">
        <v>2590</v>
      </c>
      <c r="B26" s="102"/>
      <c r="C26" s="101"/>
      <c r="D26" s="101">
        <v>585</v>
      </c>
      <c r="E26" s="101">
        <v>1125</v>
      </c>
      <c r="F26" s="101">
        <v>720</v>
      </c>
      <c r="G26" s="101"/>
      <c r="H26" s="103">
        <v>6000</v>
      </c>
      <c r="I26" s="103"/>
      <c r="J26" s="103"/>
      <c r="K26" s="103"/>
      <c r="L26" s="104"/>
      <c r="M26" s="104">
        <v>15200</v>
      </c>
      <c r="N26" s="104"/>
      <c r="O26" s="104"/>
      <c r="P26" s="104"/>
      <c r="Q26" s="104">
        <v>209</v>
      </c>
      <c r="R26" s="104"/>
      <c r="S26" s="111">
        <v>3154.54</v>
      </c>
      <c r="T26" s="106"/>
      <c r="U26" s="106"/>
      <c r="V26" s="106">
        <v>444.5</v>
      </c>
      <c r="W26" s="106">
        <v>320</v>
      </c>
      <c r="X26" s="106"/>
      <c r="Y26" s="107">
        <v>16500</v>
      </c>
      <c r="Z26" s="107">
        <v>53724</v>
      </c>
      <c r="AA26" s="107"/>
      <c r="AB26" s="107">
        <v>4985</v>
      </c>
      <c r="AC26" s="107">
        <v>13600</v>
      </c>
      <c r="AD26" s="107"/>
      <c r="AE26" s="108"/>
      <c r="AF26" s="109"/>
      <c r="AG26" s="108"/>
      <c r="AH26" s="104"/>
      <c r="AI26" s="104">
        <v>1220</v>
      </c>
    </row>
    <row r="27" spans="1:36" ht="21.75" x14ac:dyDescent="0.5">
      <c r="A27" s="101">
        <v>418</v>
      </c>
      <c r="B27" s="102"/>
      <c r="C27" s="101"/>
      <c r="D27" s="101"/>
      <c r="E27" s="101"/>
      <c r="F27" s="101">
        <v>13320</v>
      </c>
      <c r="G27" s="101"/>
      <c r="H27" s="103">
        <v>6000</v>
      </c>
      <c r="I27" s="103"/>
      <c r="J27" s="103"/>
      <c r="K27" s="103"/>
      <c r="L27" s="104"/>
      <c r="M27" s="104">
        <v>850</v>
      </c>
      <c r="N27" s="104"/>
      <c r="O27" s="104"/>
      <c r="P27" s="104"/>
      <c r="Q27" s="125">
        <v>27922</v>
      </c>
      <c r="R27" s="104"/>
      <c r="S27" s="111">
        <v>7587.3</v>
      </c>
      <c r="T27" s="106"/>
      <c r="U27" s="106"/>
      <c r="V27" s="106">
        <v>52.6</v>
      </c>
      <c r="W27" s="106">
        <v>620</v>
      </c>
      <c r="X27" s="106"/>
      <c r="Y27" s="107"/>
      <c r="Z27" s="107">
        <v>48840</v>
      </c>
      <c r="AA27" s="107"/>
      <c r="AB27" s="107">
        <v>4950</v>
      </c>
      <c r="AC27" s="107"/>
      <c r="AD27" s="107"/>
      <c r="AE27" s="108"/>
      <c r="AF27" s="108"/>
      <c r="AG27" s="108"/>
      <c r="AH27" s="104"/>
      <c r="AI27" s="104">
        <v>18060</v>
      </c>
    </row>
    <row r="28" spans="1:36" ht="21.75" x14ac:dyDescent="0.5">
      <c r="A28" s="101">
        <v>4930</v>
      </c>
      <c r="B28" s="102"/>
      <c r="C28" s="101"/>
      <c r="D28" s="101"/>
      <c r="E28" s="101"/>
      <c r="F28" s="101">
        <v>3000</v>
      </c>
      <c r="G28" s="101"/>
      <c r="H28" s="103">
        <v>6000</v>
      </c>
      <c r="I28" s="103"/>
      <c r="J28" s="103"/>
      <c r="K28" s="103"/>
      <c r="L28" s="104"/>
      <c r="M28" s="104">
        <v>1820</v>
      </c>
      <c r="N28" s="104"/>
      <c r="O28" s="104"/>
      <c r="P28" s="104"/>
      <c r="Q28" s="104">
        <v>3970</v>
      </c>
      <c r="R28" s="104"/>
      <c r="S28" s="105">
        <v>8364.89</v>
      </c>
      <c r="T28" s="106"/>
      <c r="U28" s="106"/>
      <c r="V28" s="106">
        <v>62</v>
      </c>
      <c r="W28" s="106">
        <v>4730</v>
      </c>
      <c r="X28" s="106"/>
      <c r="Y28" s="107"/>
      <c r="Z28" s="107">
        <v>43956</v>
      </c>
      <c r="AA28" s="107"/>
      <c r="AB28" s="107">
        <v>2435</v>
      </c>
      <c r="AC28" s="107"/>
      <c r="AD28" s="107"/>
      <c r="AE28" s="108"/>
      <c r="AF28" s="108"/>
      <c r="AG28" s="108"/>
      <c r="AH28" s="104"/>
      <c r="AI28" s="104"/>
    </row>
    <row r="29" spans="1:36" ht="21.75" x14ac:dyDescent="0.5">
      <c r="A29" s="101">
        <v>4615</v>
      </c>
      <c r="B29" s="102"/>
      <c r="C29" s="101"/>
      <c r="D29" s="101"/>
      <c r="E29" s="101"/>
      <c r="F29" s="101">
        <v>1890</v>
      </c>
      <c r="G29" s="101"/>
      <c r="H29" s="103">
        <v>6000</v>
      </c>
      <c r="I29" s="103"/>
      <c r="J29" s="103"/>
      <c r="K29" s="103"/>
      <c r="L29" s="104"/>
      <c r="M29" s="104">
        <v>1300</v>
      </c>
      <c r="N29" s="104"/>
      <c r="O29" s="104"/>
      <c r="P29" s="104"/>
      <c r="Q29" s="104"/>
      <c r="R29" s="104"/>
      <c r="S29" s="105">
        <v>7758.61</v>
      </c>
      <c r="T29" s="106"/>
      <c r="U29" s="106"/>
      <c r="V29" s="106">
        <v>279.22000000000003</v>
      </c>
      <c r="W29" s="106">
        <v>4400</v>
      </c>
      <c r="X29" s="106"/>
      <c r="Y29" s="107"/>
      <c r="Z29" s="107">
        <v>34188</v>
      </c>
      <c r="AA29" s="107"/>
      <c r="AB29" s="107">
        <v>4932</v>
      </c>
      <c r="AC29" s="107"/>
      <c r="AD29" s="107"/>
      <c r="AE29" s="108"/>
      <c r="AF29" s="108"/>
      <c r="AG29" s="108"/>
      <c r="AH29" s="104"/>
      <c r="AI29" s="104"/>
    </row>
    <row r="30" spans="1:36" ht="21.75" x14ac:dyDescent="0.5">
      <c r="A30" s="101">
        <v>6200</v>
      </c>
      <c r="B30" s="102"/>
      <c r="C30" s="101"/>
      <c r="D30" s="101"/>
      <c r="E30" s="101"/>
      <c r="F30" s="101">
        <v>720</v>
      </c>
      <c r="G30" s="101"/>
      <c r="H30" s="103">
        <v>6000</v>
      </c>
      <c r="I30" s="103"/>
      <c r="J30" s="103"/>
      <c r="K30" s="103"/>
      <c r="L30" s="104"/>
      <c r="M30" s="104">
        <v>3000</v>
      </c>
      <c r="N30" s="104"/>
      <c r="O30" s="104"/>
      <c r="P30" s="104"/>
      <c r="Q30" s="104"/>
      <c r="R30" s="104"/>
      <c r="S30" s="125">
        <v>9335.09</v>
      </c>
      <c r="T30" s="106"/>
      <c r="U30" s="106"/>
      <c r="V30" s="106">
        <v>133.19999999999999</v>
      </c>
      <c r="W30" s="106">
        <v>3255</v>
      </c>
      <c r="X30" s="106"/>
      <c r="Y30" s="107"/>
      <c r="Z30" s="107">
        <v>63492</v>
      </c>
      <c r="AA30" s="107"/>
      <c r="AB30" s="107">
        <v>2520</v>
      </c>
      <c r="AC30" s="107"/>
      <c r="AD30" s="107"/>
      <c r="AE30" s="108"/>
      <c r="AF30" s="108"/>
      <c r="AG30" s="108"/>
      <c r="AH30" s="104"/>
      <c r="AI30" s="104"/>
    </row>
    <row r="31" spans="1:36" ht="21.75" x14ac:dyDescent="0.5">
      <c r="A31" s="101">
        <v>2100</v>
      </c>
      <c r="B31" s="102"/>
      <c r="C31" s="101"/>
      <c r="D31" s="101"/>
      <c r="E31" s="101"/>
      <c r="F31" s="101">
        <v>20000</v>
      </c>
      <c r="G31" s="101"/>
      <c r="H31" s="103"/>
      <c r="I31" s="103"/>
      <c r="J31" s="103"/>
      <c r="K31" s="103"/>
      <c r="L31" s="104"/>
      <c r="M31" s="104">
        <v>1000</v>
      </c>
      <c r="N31" s="104"/>
      <c r="O31" s="104"/>
      <c r="P31" s="104"/>
      <c r="Q31" s="104"/>
      <c r="R31" s="104"/>
      <c r="S31" s="105"/>
      <c r="T31" s="106"/>
      <c r="U31" s="106"/>
      <c r="V31" s="106">
        <v>1350.07</v>
      </c>
      <c r="W31" s="106">
        <v>2640</v>
      </c>
      <c r="X31" s="106"/>
      <c r="Y31" s="107"/>
      <c r="Z31" s="107">
        <v>43956</v>
      </c>
      <c r="AA31" s="107"/>
      <c r="AB31" s="107">
        <v>3080</v>
      </c>
      <c r="AC31" s="107"/>
      <c r="AD31" s="107"/>
      <c r="AE31" s="108"/>
      <c r="AF31" s="108"/>
      <c r="AG31" s="108"/>
      <c r="AH31" s="104"/>
      <c r="AI31" s="104"/>
    </row>
    <row r="32" spans="1:36" ht="21.75" x14ac:dyDescent="0.5">
      <c r="A32" s="101">
        <v>2160</v>
      </c>
      <c r="B32" s="102"/>
      <c r="C32" s="101"/>
      <c r="D32" s="101"/>
      <c r="E32" s="101"/>
      <c r="F32" s="101">
        <v>6000</v>
      </c>
      <c r="G32" s="101"/>
      <c r="H32" s="103"/>
      <c r="I32" s="103"/>
      <c r="J32" s="103"/>
      <c r="K32" s="103"/>
      <c r="L32" s="104"/>
      <c r="M32" s="104">
        <v>7000</v>
      </c>
      <c r="N32" s="104"/>
      <c r="O32" s="104"/>
      <c r="P32" s="104"/>
      <c r="Q32" s="104"/>
      <c r="R32" s="104"/>
      <c r="S32" s="105"/>
      <c r="T32" s="106"/>
      <c r="U32" s="106"/>
      <c r="V32" s="106">
        <v>400</v>
      </c>
      <c r="W32" s="106"/>
      <c r="X32" s="106"/>
      <c r="Y32" s="107"/>
      <c r="Z32" s="107">
        <v>48840</v>
      </c>
      <c r="AA32" s="107"/>
      <c r="AB32" s="107">
        <v>3080</v>
      </c>
      <c r="AC32" s="107"/>
      <c r="AD32" s="107"/>
      <c r="AE32" s="108"/>
      <c r="AF32" s="108"/>
      <c r="AG32" s="108"/>
      <c r="AH32" s="104"/>
      <c r="AI32" s="104"/>
    </row>
    <row r="33" spans="1:35" ht="21.75" x14ac:dyDescent="0.5">
      <c r="A33" s="101">
        <v>4555</v>
      </c>
      <c r="B33" s="102"/>
      <c r="C33" s="101"/>
      <c r="D33" s="101"/>
      <c r="E33" s="101"/>
      <c r="F33" s="101">
        <v>6000</v>
      </c>
      <c r="G33" s="101"/>
      <c r="H33" s="103"/>
      <c r="I33" s="103"/>
      <c r="J33" s="103"/>
      <c r="K33" s="103"/>
      <c r="L33" s="104"/>
      <c r="M33" s="104">
        <v>2000</v>
      </c>
      <c r="N33" s="104"/>
      <c r="O33" s="104"/>
      <c r="P33" s="104"/>
      <c r="Q33" s="104"/>
      <c r="R33" s="104"/>
      <c r="S33" s="105"/>
      <c r="T33" s="106"/>
      <c r="U33" s="106"/>
      <c r="V33" s="106">
        <v>96.17</v>
      </c>
      <c r="W33" s="106"/>
      <c r="X33" s="106"/>
      <c r="Y33" s="107"/>
      <c r="Z33" s="107">
        <v>48840</v>
      </c>
      <c r="AA33" s="107"/>
      <c r="AB33" s="107"/>
      <c r="AC33" s="107"/>
      <c r="AD33" s="107"/>
      <c r="AE33" s="108"/>
      <c r="AF33" s="108"/>
      <c r="AG33" s="108"/>
      <c r="AH33" s="104"/>
      <c r="AI33" s="104"/>
    </row>
    <row r="34" spans="1:35" ht="21.75" x14ac:dyDescent="0.5">
      <c r="A34" s="101">
        <v>2237</v>
      </c>
      <c r="B34" s="102"/>
      <c r="C34" s="101"/>
      <c r="D34" s="101"/>
      <c r="E34" s="101"/>
      <c r="F34" s="101">
        <v>20000</v>
      </c>
      <c r="G34" s="101"/>
      <c r="H34" s="103"/>
      <c r="I34" s="103"/>
      <c r="J34" s="103"/>
      <c r="K34" s="103"/>
      <c r="L34" s="104"/>
      <c r="M34" s="104">
        <v>990</v>
      </c>
      <c r="N34" s="104"/>
      <c r="O34" s="104"/>
      <c r="P34" s="104"/>
      <c r="Q34" s="104"/>
      <c r="R34" s="104"/>
      <c r="S34" s="105"/>
      <c r="T34" s="106"/>
      <c r="U34" s="106"/>
      <c r="V34" s="106"/>
      <c r="W34" s="106"/>
      <c r="X34" s="106"/>
      <c r="Y34" s="107"/>
      <c r="Z34" s="107">
        <v>58608</v>
      </c>
      <c r="AA34" s="107"/>
      <c r="AB34" s="107"/>
      <c r="AC34" s="107"/>
      <c r="AD34" s="107"/>
      <c r="AE34" s="108"/>
      <c r="AF34" s="108"/>
      <c r="AG34" s="108"/>
      <c r="AH34" s="104"/>
      <c r="AI34" s="104"/>
    </row>
    <row r="35" spans="1:35" ht="21.75" x14ac:dyDescent="0.5">
      <c r="A35" s="101">
        <v>4925</v>
      </c>
      <c r="B35" s="102"/>
      <c r="C35" s="101"/>
      <c r="D35" s="101"/>
      <c r="E35" s="101"/>
      <c r="F35" s="101">
        <v>4000</v>
      </c>
      <c r="G35" s="101"/>
      <c r="H35" s="103"/>
      <c r="I35" s="103"/>
      <c r="J35" s="103"/>
      <c r="K35" s="103"/>
      <c r="L35" s="104"/>
      <c r="M35" s="104">
        <v>950</v>
      </c>
      <c r="N35" s="104"/>
      <c r="O35" s="104"/>
      <c r="P35" s="104"/>
      <c r="Q35" s="104"/>
      <c r="R35" s="104"/>
      <c r="S35" s="105"/>
      <c r="T35" s="106"/>
      <c r="U35" s="106"/>
      <c r="V35" s="106"/>
      <c r="W35" s="106"/>
      <c r="X35" s="106"/>
      <c r="Y35" s="107"/>
      <c r="Z35" s="107"/>
      <c r="AA35" s="107"/>
      <c r="AB35" s="107"/>
      <c r="AC35" s="107"/>
      <c r="AD35" s="107"/>
      <c r="AE35" s="108"/>
      <c r="AF35" s="108"/>
      <c r="AG35" s="108"/>
      <c r="AH35" s="104"/>
      <c r="AI35" s="104"/>
    </row>
    <row r="36" spans="1:35" ht="21.75" x14ac:dyDescent="0.5">
      <c r="A36" s="101">
        <v>510</v>
      </c>
      <c r="B36" s="102"/>
      <c r="C36" s="101"/>
      <c r="D36" s="101"/>
      <c r="E36" s="101"/>
      <c r="F36" s="101">
        <v>250</v>
      </c>
      <c r="G36" s="101"/>
      <c r="H36" s="103"/>
      <c r="I36" s="103"/>
      <c r="J36" s="103"/>
      <c r="K36" s="103"/>
      <c r="L36" s="104"/>
      <c r="M36" s="104"/>
      <c r="N36" s="104"/>
      <c r="O36" s="104"/>
      <c r="P36" s="104"/>
      <c r="Q36" s="104"/>
      <c r="R36" s="104"/>
      <c r="S36" s="105"/>
      <c r="T36" s="106"/>
      <c r="U36" s="106"/>
      <c r="V36" s="106"/>
      <c r="W36" s="106"/>
      <c r="X36" s="106"/>
      <c r="Y36" s="107"/>
      <c r="Z36" s="107"/>
      <c r="AA36" s="107"/>
      <c r="AB36" s="107"/>
      <c r="AC36" s="107"/>
      <c r="AD36" s="107"/>
      <c r="AE36" s="108"/>
      <c r="AF36" s="108"/>
      <c r="AG36" s="108"/>
      <c r="AH36" s="104"/>
      <c r="AI36" s="104"/>
    </row>
    <row r="37" spans="1:35" ht="21.75" x14ac:dyDescent="0.5">
      <c r="A37" s="101">
        <v>2010</v>
      </c>
      <c r="B37" s="102"/>
      <c r="C37" s="101"/>
      <c r="D37" s="101"/>
      <c r="E37" s="101"/>
      <c r="F37" s="101">
        <v>250</v>
      </c>
      <c r="G37" s="101"/>
      <c r="H37" s="103"/>
      <c r="I37" s="103"/>
      <c r="J37" s="103"/>
      <c r="K37" s="103"/>
      <c r="L37" s="104"/>
      <c r="M37" s="104"/>
      <c r="N37" s="104"/>
      <c r="O37" s="104"/>
      <c r="P37" s="104"/>
      <c r="Q37" s="104"/>
      <c r="R37" s="104"/>
      <c r="S37" s="105"/>
      <c r="T37" s="106"/>
      <c r="U37" s="106"/>
      <c r="V37" s="106"/>
      <c r="W37" s="106"/>
      <c r="X37" s="106"/>
      <c r="Y37" s="107"/>
      <c r="Z37" s="107"/>
      <c r="AA37" s="107"/>
      <c r="AB37" s="107"/>
      <c r="AC37" s="107"/>
      <c r="AD37" s="107"/>
      <c r="AE37" s="108"/>
      <c r="AF37" s="108"/>
      <c r="AG37" s="108"/>
      <c r="AH37" s="104"/>
      <c r="AI37" s="104"/>
    </row>
    <row r="38" spans="1:35" ht="21.75" x14ac:dyDescent="0.5">
      <c r="A38" s="101">
        <v>1600</v>
      </c>
      <c r="B38" s="102"/>
      <c r="C38" s="101"/>
      <c r="D38" s="101"/>
      <c r="E38" s="101"/>
      <c r="F38" s="101">
        <v>3600</v>
      </c>
      <c r="G38" s="101"/>
      <c r="H38" s="103"/>
      <c r="I38" s="103"/>
      <c r="J38" s="103"/>
      <c r="K38" s="103"/>
      <c r="L38" s="104"/>
      <c r="M38" s="104"/>
      <c r="N38" s="104"/>
      <c r="O38" s="104"/>
      <c r="P38" s="104"/>
      <c r="Q38" s="104"/>
      <c r="R38" s="104"/>
      <c r="S38" s="105"/>
      <c r="T38" s="106"/>
      <c r="U38" s="106"/>
      <c r="V38" s="106"/>
      <c r="W38" s="106"/>
      <c r="X38" s="106"/>
      <c r="Y38" s="107"/>
      <c r="Z38" s="107"/>
      <c r="AA38" s="107"/>
      <c r="AB38" s="107"/>
      <c r="AC38" s="107"/>
      <c r="AD38" s="107"/>
      <c r="AE38" s="108"/>
      <c r="AF38" s="108"/>
      <c r="AG38" s="108"/>
      <c r="AH38" s="104"/>
      <c r="AI38" s="104"/>
    </row>
    <row r="39" spans="1:35" ht="43.5" x14ac:dyDescent="0.5">
      <c r="A39" s="101">
        <v>4850</v>
      </c>
      <c r="B39" s="102"/>
      <c r="C39" s="101"/>
      <c r="D39" s="101"/>
      <c r="E39" s="101"/>
      <c r="F39" s="101">
        <v>5950</v>
      </c>
      <c r="G39" s="101"/>
      <c r="H39" s="103"/>
      <c r="I39" s="103"/>
      <c r="J39" s="103"/>
      <c r="K39" s="103"/>
      <c r="L39" s="104"/>
      <c r="M39" s="104"/>
      <c r="N39" s="104"/>
      <c r="O39" s="104"/>
      <c r="P39" s="104"/>
      <c r="Q39" s="104"/>
      <c r="R39" s="104"/>
      <c r="S39" s="105"/>
      <c r="T39" s="106"/>
      <c r="U39" s="106"/>
      <c r="V39" s="106"/>
      <c r="W39" s="106"/>
      <c r="X39" s="106"/>
      <c r="Y39" s="107"/>
      <c r="Z39" s="107"/>
      <c r="AA39" s="107"/>
      <c r="AB39" s="107"/>
      <c r="AC39" s="107"/>
      <c r="AD39" s="107"/>
      <c r="AE39" s="108"/>
      <c r="AF39" s="108"/>
      <c r="AG39" s="108"/>
      <c r="AH39" s="104"/>
      <c r="AI39" s="104"/>
    </row>
    <row r="40" spans="1:35" ht="21.75" x14ac:dyDescent="0.5">
      <c r="A40" s="101">
        <v>4795</v>
      </c>
      <c r="B40" s="102"/>
      <c r="C40" s="101"/>
      <c r="D40" s="101"/>
      <c r="E40" s="101"/>
      <c r="F40" s="101">
        <v>7000</v>
      </c>
      <c r="G40" s="101"/>
      <c r="H40" s="103"/>
      <c r="I40" s="103"/>
      <c r="J40" s="103"/>
      <c r="K40" s="103"/>
      <c r="L40" s="104"/>
      <c r="M40" s="104"/>
      <c r="N40" s="104"/>
      <c r="O40" s="104"/>
      <c r="P40" s="104"/>
      <c r="Q40" s="104"/>
      <c r="R40" s="104"/>
      <c r="S40" s="105"/>
      <c r="T40" s="106"/>
      <c r="U40" s="106"/>
      <c r="V40" s="106"/>
      <c r="W40" s="106"/>
      <c r="X40" s="106"/>
      <c r="Y40" s="107"/>
      <c r="Z40" s="107"/>
      <c r="AA40" s="107"/>
      <c r="AB40" s="107"/>
      <c r="AC40" s="107"/>
      <c r="AD40" s="107"/>
      <c r="AE40" s="108"/>
      <c r="AF40" s="108"/>
      <c r="AG40" s="108"/>
      <c r="AH40" s="104"/>
      <c r="AI40" s="104"/>
    </row>
    <row r="41" spans="1:35" ht="21.75" x14ac:dyDescent="0.5">
      <c r="A41" s="101">
        <v>3000</v>
      </c>
      <c r="B41" s="102"/>
      <c r="C41" s="101"/>
      <c r="D41" s="101"/>
      <c r="E41" s="101"/>
      <c r="F41" s="101">
        <v>6020</v>
      </c>
      <c r="G41" s="101"/>
      <c r="H41" s="103"/>
      <c r="I41" s="103"/>
      <c r="J41" s="103"/>
      <c r="K41" s="103"/>
      <c r="L41" s="104"/>
      <c r="M41" s="104"/>
      <c r="N41" s="104"/>
      <c r="O41" s="104"/>
      <c r="P41" s="104"/>
      <c r="Q41" s="104"/>
      <c r="R41" s="104"/>
      <c r="S41" s="105"/>
      <c r="T41" s="106"/>
      <c r="U41" s="106"/>
      <c r="V41" s="106"/>
      <c r="W41" s="106"/>
      <c r="X41" s="106"/>
      <c r="Y41" s="107"/>
      <c r="Z41" s="107"/>
      <c r="AA41" s="107"/>
      <c r="AB41" s="107"/>
      <c r="AC41" s="107"/>
      <c r="AD41" s="107"/>
      <c r="AE41" s="108"/>
      <c r="AF41" s="108"/>
      <c r="AG41" s="108"/>
      <c r="AH41" s="104"/>
      <c r="AI41" s="104"/>
    </row>
    <row r="42" spans="1:35" ht="43.5" x14ac:dyDescent="0.5">
      <c r="A42" s="101">
        <v>2800</v>
      </c>
      <c r="B42" s="102"/>
      <c r="C42" s="101"/>
      <c r="D42" s="101"/>
      <c r="E42" s="101"/>
      <c r="F42" s="101">
        <v>6020</v>
      </c>
      <c r="G42" s="101"/>
      <c r="H42" s="103"/>
      <c r="I42" s="103"/>
      <c r="J42" s="103"/>
      <c r="K42" s="103"/>
      <c r="L42" s="104"/>
      <c r="M42" s="104"/>
      <c r="N42" s="104"/>
      <c r="O42" s="104"/>
      <c r="P42" s="104"/>
      <c r="Q42" s="104"/>
      <c r="R42" s="104"/>
      <c r="S42" s="105"/>
      <c r="T42" s="106"/>
      <c r="U42" s="106"/>
      <c r="V42" s="106"/>
      <c r="W42" s="106"/>
      <c r="X42" s="106"/>
      <c r="Y42" s="107"/>
      <c r="Z42" s="107"/>
      <c r="AA42" s="107"/>
      <c r="AB42" s="107"/>
      <c r="AC42" s="107"/>
      <c r="AD42" s="107"/>
      <c r="AE42" s="108"/>
      <c r="AF42" s="108"/>
      <c r="AG42" s="108"/>
      <c r="AH42" s="104"/>
      <c r="AI42" s="104"/>
    </row>
    <row r="43" spans="1:35" ht="21.75" x14ac:dyDescent="0.5">
      <c r="A43" s="101">
        <v>1206</v>
      </c>
      <c r="B43" s="102"/>
      <c r="C43" s="101"/>
      <c r="D43" s="101"/>
      <c r="E43" s="101"/>
      <c r="F43" s="101">
        <v>3500</v>
      </c>
      <c r="G43" s="101"/>
      <c r="H43" s="103"/>
      <c r="I43" s="103"/>
      <c r="J43" s="103"/>
      <c r="K43" s="103"/>
      <c r="L43" s="104"/>
      <c r="M43" s="104"/>
      <c r="N43" s="104"/>
      <c r="O43" s="104"/>
      <c r="P43" s="104"/>
      <c r="Q43" s="104"/>
      <c r="R43" s="104"/>
      <c r="S43" s="105"/>
      <c r="T43" s="106"/>
      <c r="U43" s="106"/>
      <c r="V43" s="106"/>
      <c r="W43" s="106"/>
      <c r="X43" s="106"/>
      <c r="Y43" s="107"/>
      <c r="Z43" s="107"/>
      <c r="AA43" s="107"/>
      <c r="AB43" s="107"/>
      <c r="AC43" s="107"/>
      <c r="AD43" s="107"/>
      <c r="AE43" s="108"/>
      <c r="AF43" s="108"/>
      <c r="AG43" s="108"/>
      <c r="AH43" s="104"/>
      <c r="AI43" s="104"/>
    </row>
    <row r="44" spans="1:35" ht="21.75" x14ac:dyDescent="0.5">
      <c r="A44" s="101">
        <v>785</v>
      </c>
      <c r="B44" s="102"/>
      <c r="C44" s="101"/>
      <c r="D44" s="101"/>
      <c r="E44" s="101"/>
      <c r="F44" s="101"/>
      <c r="G44" s="101"/>
      <c r="H44" s="103"/>
      <c r="I44" s="103"/>
      <c r="J44" s="103"/>
      <c r="K44" s="103"/>
      <c r="L44" s="104"/>
      <c r="M44" s="104"/>
      <c r="N44" s="104"/>
      <c r="O44" s="104"/>
      <c r="P44" s="104"/>
      <c r="Q44" s="104"/>
      <c r="R44" s="104"/>
      <c r="S44" s="105"/>
      <c r="T44" s="106"/>
      <c r="U44" s="106"/>
      <c r="V44" s="106"/>
      <c r="W44" s="106"/>
      <c r="X44" s="106"/>
      <c r="Y44" s="107"/>
      <c r="Z44" s="107"/>
      <c r="AA44" s="107"/>
      <c r="AB44" s="107"/>
      <c r="AC44" s="107"/>
      <c r="AD44" s="107"/>
      <c r="AE44" s="108"/>
      <c r="AF44" s="108"/>
      <c r="AG44" s="108"/>
      <c r="AH44" s="104"/>
      <c r="AI44" s="104"/>
    </row>
    <row r="45" spans="1:35" ht="21.75" x14ac:dyDescent="0.5">
      <c r="A45" s="101"/>
      <c r="B45" s="102"/>
      <c r="C45" s="101"/>
      <c r="D45" s="101"/>
      <c r="E45" s="101"/>
      <c r="F45" s="101"/>
      <c r="G45" s="101"/>
      <c r="H45" s="103"/>
      <c r="I45" s="103"/>
      <c r="J45" s="103"/>
      <c r="K45" s="103"/>
      <c r="L45" s="104"/>
      <c r="M45" s="104"/>
      <c r="N45" s="104"/>
      <c r="O45" s="104"/>
      <c r="P45" s="104"/>
      <c r="Q45" s="104"/>
      <c r="R45" s="104"/>
      <c r="S45" s="105"/>
      <c r="T45" s="106"/>
      <c r="U45" s="106"/>
      <c r="V45" s="106"/>
      <c r="W45" s="106"/>
      <c r="X45" s="106"/>
      <c r="Y45" s="107"/>
      <c r="Z45" s="107"/>
      <c r="AA45" s="107"/>
      <c r="AB45" s="107"/>
      <c r="AC45" s="107"/>
      <c r="AD45" s="107"/>
      <c r="AE45" s="108"/>
      <c r="AF45" s="108"/>
      <c r="AG45" s="108"/>
      <c r="AH45" s="104"/>
      <c r="AI45" s="104"/>
    </row>
    <row r="46" spans="1:35" ht="21.75" x14ac:dyDescent="0.5">
      <c r="A46" s="101">
        <v>2705</v>
      </c>
      <c r="B46" s="102"/>
      <c r="C46" s="101"/>
      <c r="D46" s="101"/>
      <c r="E46" s="101"/>
      <c r="F46" s="101"/>
      <c r="G46" s="101"/>
      <c r="H46" s="103"/>
      <c r="I46" s="103"/>
      <c r="J46" s="103"/>
      <c r="K46" s="103"/>
      <c r="L46" s="104"/>
      <c r="M46" s="104"/>
      <c r="N46" s="104"/>
      <c r="O46" s="104"/>
      <c r="P46" s="104"/>
      <c r="Q46" s="104"/>
      <c r="R46" s="104"/>
      <c r="S46" s="105"/>
      <c r="T46" s="106"/>
      <c r="U46" s="106"/>
      <c r="V46" s="106"/>
      <c r="W46" s="106"/>
      <c r="X46" s="106"/>
      <c r="Y46" s="107"/>
      <c r="Z46" s="107"/>
      <c r="AA46" s="107"/>
      <c r="AB46" s="107"/>
      <c r="AC46" s="107"/>
      <c r="AD46" s="107"/>
      <c r="AE46" s="108"/>
      <c r="AF46" s="108"/>
      <c r="AG46" s="108"/>
      <c r="AH46" s="104"/>
      <c r="AI46" s="104"/>
    </row>
    <row r="47" spans="1:35" ht="43.5" x14ac:dyDescent="0.5">
      <c r="A47" s="104">
        <f t="shared" ref="A47:AI47" si="1">SUM(A25:A46)</f>
        <v>64619</v>
      </c>
      <c r="B47" s="104">
        <f t="shared" si="1"/>
        <v>0</v>
      </c>
      <c r="C47" s="104">
        <f t="shared" si="1"/>
        <v>135007</v>
      </c>
      <c r="D47" s="104">
        <f t="shared" si="1"/>
        <v>45015</v>
      </c>
      <c r="E47" s="104">
        <f t="shared" si="1"/>
        <v>84975</v>
      </c>
      <c r="F47" s="104">
        <f t="shared" si="1"/>
        <v>115240</v>
      </c>
      <c r="G47" s="104">
        <f t="shared" si="1"/>
        <v>0</v>
      </c>
      <c r="H47" s="104">
        <f t="shared" si="1"/>
        <v>36000</v>
      </c>
      <c r="I47" s="104">
        <f t="shared" si="1"/>
        <v>0</v>
      </c>
      <c r="J47" s="104">
        <f t="shared" si="1"/>
        <v>0</v>
      </c>
      <c r="K47" s="104">
        <f t="shared" si="1"/>
        <v>0</v>
      </c>
      <c r="L47" s="104">
        <f t="shared" si="1"/>
        <v>55426</v>
      </c>
      <c r="M47" s="104">
        <f t="shared" si="1"/>
        <v>63360</v>
      </c>
      <c r="N47" s="104">
        <f t="shared" si="1"/>
        <v>0</v>
      </c>
      <c r="O47" s="104">
        <f t="shared" si="1"/>
        <v>1800</v>
      </c>
      <c r="P47" s="104">
        <f t="shared" si="1"/>
        <v>0</v>
      </c>
      <c r="Q47" s="104">
        <f t="shared" si="1"/>
        <v>35201</v>
      </c>
      <c r="R47" s="104">
        <f t="shared" si="1"/>
        <v>0</v>
      </c>
      <c r="S47" s="104">
        <f t="shared" si="1"/>
        <v>41434.449999999997</v>
      </c>
      <c r="T47" s="104">
        <f t="shared" si="1"/>
        <v>0</v>
      </c>
      <c r="U47" s="104">
        <f t="shared" si="1"/>
        <v>0</v>
      </c>
      <c r="V47" s="104">
        <f t="shared" si="1"/>
        <v>3335.76</v>
      </c>
      <c r="W47" s="104">
        <f t="shared" si="1"/>
        <v>19565</v>
      </c>
      <c r="X47" s="104">
        <f t="shared" si="1"/>
        <v>0</v>
      </c>
      <c r="Y47" s="104">
        <f t="shared" si="1"/>
        <v>34000</v>
      </c>
      <c r="Z47" s="104">
        <f t="shared" si="1"/>
        <v>444444</v>
      </c>
      <c r="AA47" s="104">
        <f t="shared" si="1"/>
        <v>280</v>
      </c>
      <c r="AB47" s="104">
        <f t="shared" si="1"/>
        <v>26702</v>
      </c>
      <c r="AC47" s="104">
        <f t="shared" si="1"/>
        <v>46400</v>
      </c>
      <c r="AD47" s="104">
        <f t="shared" si="1"/>
        <v>22000</v>
      </c>
      <c r="AE47" s="104">
        <f t="shared" si="1"/>
        <v>0</v>
      </c>
      <c r="AF47" s="104">
        <f t="shared" si="1"/>
        <v>1259.6300000000001</v>
      </c>
      <c r="AG47" s="104">
        <f t="shared" si="1"/>
        <v>0</v>
      </c>
      <c r="AH47" s="104">
        <f t="shared" si="1"/>
        <v>0</v>
      </c>
      <c r="AI47" s="104">
        <f t="shared" si="1"/>
        <v>20000</v>
      </c>
    </row>
  </sheetData>
  <mergeCells count="12">
    <mergeCell ref="AE23:AG23"/>
    <mergeCell ref="A2:G2"/>
    <mergeCell ref="H2:K2"/>
    <mergeCell ref="L2:R2"/>
    <mergeCell ref="S2:X2"/>
    <mergeCell ref="Y2:AC2"/>
    <mergeCell ref="AE2:AG2"/>
    <mergeCell ref="A23:G23"/>
    <mergeCell ref="H23:K23"/>
    <mergeCell ref="L23:R23"/>
    <mergeCell ref="S23:X23"/>
    <mergeCell ref="Y23:AC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5A5D-6724-4099-AD08-DA7607D04C21}">
  <dimension ref="A1:AH43"/>
  <sheetViews>
    <sheetView topLeftCell="N3" zoomScale="91" zoomScaleNormal="91" workbookViewId="0">
      <selection activeCell="J6" sqref="J6"/>
    </sheetView>
  </sheetViews>
  <sheetFormatPr defaultColWidth="9" defaultRowHeight="18.75" x14ac:dyDescent="0.3"/>
  <cols>
    <col min="1" max="33" width="10.7109375" style="36" customWidth="1"/>
    <col min="34" max="34" width="8.140625" style="36" bestFit="1" customWidth="1"/>
    <col min="35" max="16384" width="9" style="36"/>
  </cols>
  <sheetData>
    <row r="1" spans="1:34" ht="21.75" x14ac:dyDescent="0.5">
      <c r="A1" s="88" t="s">
        <v>215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</row>
    <row r="2" spans="1:34" ht="21.75" x14ac:dyDescent="0.3">
      <c r="A2" s="154" t="s">
        <v>182</v>
      </c>
      <c r="B2" s="154"/>
      <c r="C2" s="154"/>
      <c r="D2" s="154"/>
      <c r="E2" s="154"/>
      <c r="F2" s="154"/>
      <c r="G2" s="154"/>
      <c r="H2" s="155" t="s">
        <v>183</v>
      </c>
      <c r="I2" s="155"/>
      <c r="J2" s="155"/>
      <c r="K2" s="155"/>
      <c r="L2" s="156" t="s">
        <v>184</v>
      </c>
      <c r="M2" s="156"/>
      <c r="N2" s="156"/>
      <c r="O2" s="156"/>
      <c r="P2" s="156"/>
      <c r="Q2" s="156"/>
      <c r="R2" s="156"/>
      <c r="S2" s="157" t="s">
        <v>185</v>
      </c>
      <c r="T2" s="157"/>
      <c r="U2" s="157"/>
      <c r="V2" s="157"/>
      <c r="W2" s="157"/>
      <c r="X2" s="157"/>
      <c r="Y2" s="158" t="s">
        <v>186</v>
      </c>
      <c r="Z2" s="158"/>
      <c r="AA2" s="158"/>
      <c r="AB2" s="158"/>
      <c r="AC2" s="158"/>
      <c r="AD2" s="151" t="s">
        <v>187</v>
      </c>
      <c r="AE2" s="152"/>
      <c r="AF2" s="153"/>
      <c r="AG2" s="117"/>
      <c r="AH2" s="90"/>
    </row>
    <row r="3" spans="1:34" ht="217.5" x14ac:dyDescent="0.3">
      <c r="A3" s="91" t="s">
        <v>188</v>
      </c>
      <c r="B3" s="91" t="s">
        <v>189</v>
      </c>
      <c r="C3" s="91" t="s">
        <v>190</v>
      </c>
      <c r="D3" s="91" t="s">
        <v>191</v>
      </c>
      <c r="E3" s="91" t="s">
        <v>192</v>
      </c>
      <c r="F3" s="91" t="s">
        <v>193</v>
      </c>
      <c r="G3" s="91" t="s">
        <v>194</v>
      </c>
      <c r="H3" s="92" t="s">
        <v>263</v>
      </c>
      <c r="I3" s="93" t="s">
        <v>196</v>
      </c>
      <c r="J3" s="93" t="s">
        <v>197</v>
      </c>
      <c r="K3" s="94" t="s">
        <v>198</v>
      </c>
      <c r="L3" s="95" t="s">
        <v>199</v>
      </c>
      <c r="M3" s="95" t="s">
        <v>200</v>
      </c>
      <c r="N3" s="95" t="s">
        <v>201</v>
      </c>
      <c r="O3" s="95" t="s">
        <v>202</v>
      </c>
      <c r="P3" s="95" t="s">
        <v>203</v>
      </c>
      <c r="Q3" s="95" t="s">
        <v>204</v>
      </c>
      <c r="R3" s="95" t="s">
        <v>205</v>
      </c>
      <c r="S3" s="96" t="s">
        <v>206</v>
      </c>
      <c r="T3" s="97" t="s">
        <v>207</v>
      </c>
      <c r="U3" s="97" t="s">
        <v>132</v>
      </c>
      <c r="V3" s="97" t="s">
        <v>265</v>
      </c>
      <c r="W3" s="97" t="s">
        <v>208</v>
      </c>
      <c r="X3" s="97" t="s">
        <v>209</v>
      </c>
      <c r="Y3" s="98" t="s">
        <v>266</v>
      </c>
      <c r="Z3" s="98" t="s">
        <v>267</v>
      </c>
      <c r="AA3" s="98" t="s">
        <v>210</v>
      </c>
      <c r="AB3" s="98" t="s">
        <v>211</v>
      </c>
      <c r="AC3" s="98" t="s">
        <v>268</v>
      </c>
      <c r="AD3" s="99" t="s">
        <v>212</v>
      </c>
      <c r="AE3" s="99" t="s">
        <v>213</v>
      </c>
      <c r="AF3" s="99" t="s">
        <v>214</v>
      </c>
      <c r="AG3" s="118" t="s">
        <v>264</v>
      </c>
      <c r="AH3" s="100"/>
    </row>
    <row r="4" spans="1:34" ht="43.5" x14ac:dyDescent="0.5">
      <c r="A4" s="110">
        <v>1981</v>
      </c>
      <c r="B4" s="102"/>
      <c r="C4" s="101"/>
      <c r="D4" s="110">
        <v>45900</v>
      </c>
      <c r="E4" s="101"/>
      <c r="F4" s="110">
        <v>2500</v>
      </c>
      <c r="G4" s="101"/>
      <c r="H4" s="110">
        <v>12000</v>
      </c>
      <c r="I4" s="103"/>
      <c r="J4" s="110">
        <v>300</v>
      </c>
      <c r="K4" s="103"/>
      <c r="L4" s="110">
        <v>17301.689999999999</v>
      </c>
      <c r="M4" s="110">
        <v>14100</v>
      </c>
      <c r="N4" s="104"/>
      <c r="O4" s="104"/>
      <c r="P4" s="110">
        <v>54000</v>
      </c>
      <c r="Q4" s="110">
        <v>4830</v>
      </c>
      <c r="R4" s="104"/>
      <c r="S4" s="115">
        <v>6332.67</v>
      </c>
      <c r="T4" s="106"/>
      <c r="U4" s="110">
        <v>3415</v>
      </c>
      <c r="V4" s="110">
        <v>564.6</v>
      </c>
      <c r="W4" s="110">
        <v>365</v>
      </c>
      <c r="X4" s="106"/>
      <c r="Y4" s="110">
        <v>8000</v>
      </c>
      <c r="Z4" s="110">
        <v>39072</v>
      </c>
      <c r="AA4" s="110">
        <v>507.45</v>
      </c>
      <c r="AB4" s="110">
        <v>4500</v>
      </c>
      <c r="AC4" s="110">
        <v>29140</v>
      </c>
      <c r="AD4" s="108"/>
      <c r="AE4" s="89">
        <v>1615.74</v>
      </c>
      <c r="AF4" s="108"/>
      <c r="AG4" s="110">
        <v>20000</v>
      </c>
      <c r="AH4" s="88"/>
    </row>
    <row r="5" spans="1:34" ht="43.5" x14ac:dyDescent="0.5">
      <c r="A5" s="110">
        <v>2105</v>
      </c>
      <c r="B5" s="102"/>
      <c r="C5" s="101"/>
      <c r="D5" s="101"/>
      <c r="E5" s="101"/>
      <c r="F5" s="110">
        <v>11200</v>
      </c>
      <c r="G5" s="101"/>
      <c r="H5" s="110">
        <v>12000</v>
      </c>
      <c r="I5" s="103"/>
      <c r="J5" s="103"/>
      <c r="K5" s="103"/>
      <c r="L5" s="110">
        <v>600</v>
      </c>
      <c r="M5" s="110">
        <v>1000</v>
      </c>
      <c r="N5" s="104"/>
      <c r="O5" s="104"/>
      <c r="P5" s="104"/>
      <c r="Q5" s="110">
        <v>2150</v>
      </c>
      <c r="R5" s="104"/>
      <c r="S5" s="116">
        <v>5213.1099999999997</v>
      </c>
      <c r="T5" s="106"/>
      <c r="U5" s="110">
        <v>2520</v>
      </c>
      <c r="V5" s="110">
        <v>141</v>
      </c>
      <c r="W5" s="110">
        <v>840</v>
      </c>
      <c r="X5" s="106"/>
      <c r="Y5" s="110">
        <v>17000</v>
      </c>
      <c r="Z5" s="110">
        <v>9416</v>
      </c>
      <c r="AA5" s="107"/>
      <c r="AB5" s="110">
        <v>3500</v>
      </c>
      <c r="AC5" s="110">
        <v>37840</v>
      </c>
      <c r="AD5" s="108"/>
      <c r="AE5" s="109"/>
      <c r="AF5" s="108"/>
      <c r="AG5" s="119"/>
      <c r="AH5" s="88"/>
    </row>
    <row r="6" spans="1:34" ht="43.5" x14ac:dyDescent="0.5">
      <c r="A6" s="110">
        <v>2534</v>
      </c>
      <c r="B6" s="102"/>
      <c r="C6" s="101"/>
      <c r="D6" s="101"/>
      <c r="E6" s="101"/>
      <c r="F6" s="110">
        <v>14280</v>
      </c>
      <c r="G6" s="101"/>
      <c r="H6" s="110">
        <v>12000</v>
      </c>
      <c r="I6" s="103"/>
      <c r="J6" s="103"/>
      <c r="K6" s="103"/>
      <c r="L6" s="104"/>
      <c r="M6" s="110">
        <v>2000</v>
      </c>
      <c r="N6" s="104"/>
      <c r="O6" s="104"/>
      <c r="P6" s="104"/>
      <c r="Q6" s="110">
        <v>1825</v>
      </c>
      <c r="R6" s="104"/>
      <c r="S6" s="116">
        <v>6802.61</v>
      </c>
      <c r="T6" s="106"/>
      <c r="U6" s="106"/>
      <c r="V6" s="110">
        <v>281</v>
      </c>
      <c r="W6" s="110">
        <v>645</v>
      </c>
      <c r="X6" s="106"/>
      <c r="Y6" s="110">
        <v>24500</v>
      </c>
      <c r="Z6" s="110">
        <v>53240</v>
      </c>
      <c r="AA6" s="107"/>
      <c r="AB6" s="110">
        <v>8500</v>
      </c>
      <c r="AC6" s="107"/>
      <c r="AD6" s="108"/>
      <c r="AE6" s="108"/>
      <c r="AF6" s="108"/>
      <c r="AG6" s="119"/>
      <c r="AH6" s="88"/>
    </row>
    <row r="7" spans="1:34" ht="43.5" x14ac:dyDescent="0.5">
      <c r="A7" s="110">
        <v>4530</v>
      </c>
      <c r="B7" s="102"/>
      <c r="C7" s="101"/>
      <c r="D7" s="101"/>
      <c r="E7" s="101"/>
      <c r="F7" s="110">
        <v>5400</v>
      </c>
      <c r="G7" s="101"/>
      <c r="H7" s="110">
        <v>12000</v>
      </c>
      <c r="I7" s="103"/>
      <c r="J7" s="103"/>
      <c r="K7" s="103"/>
      <c r="L7" s="104"/>
      <c r="M7" s="110">
        <v>16900</v>
      </c>
      <c r="N7" s="104"/>
      <c r="O7" s="104"/>
      <c r="P7" s="104"/>
      <c r="Q7" s="110">
        <v>1840</v>
      </c>
      <c r="R7" s="104"/>
      <c r="S7" s="115">
        <v>4355.62</v>
      </c>
      <c r="T7" s="106"/>
      <c r="U7" s="106"/>
      <c r="V7" s="110">
        <v>713.02</v>
      </c>
      <c r="W7" s="110">
        <v>2890</v>
      </c>
      <c r="X7" s="106"/>
      <c r="Y7" s="107"/>
      <c r="Z7" s="110">
        <v>49500</v>
      </c>
      <c r="AA7" s="107"/>
      <c r="AB7" s="110">
        <v>8000</v>
      </c>
      <c r="AC7" s="107"/>
      <c r="AD7" s="108"/>
      <c r="AE7" s="108"/>
      <c r="AF7" s="108"/>
      <c r="AG7" s="119"/>
      <c r="AH7" s="88"/>
    </row>
    <row r="8" spans="1:34" ht="43.5" x14ac:dyDescent="0.5">
      <c r="A8" s="110">
        <v>3390</v>
      </c>
      <c r="B8" s="102"/>
      <c r="C8" s="101"/>
      <c r="D8" s="101"/>
      <c r="E8" s="101"/>
      <c r="F8" s="101"/>
      <c r="G8" s="101"/>
      <c r="H8" s="110">
        <v>6000</v>
      </c>
      <c r="I8" s="103"/>
      <c r="J8" s="103"/>
      <c r="K8" s="103"/>
      <c r="L8" s="104"/>
      <c r="M8" s="110">
        <v>2900</v>
      </c>
      <c r="N8" s="104"/>
      <c r="O8" s="104"/>
      <c r="P8" s="104"/>
      <c r="Q8" s="104"/>
      <c r="R8" s="104"/>
      <c r="S8" s="115">
        <v>4186.34</v>
      </c>
      <c r="T8" s="106"/>
      <c r="U8" s="106"/>
      <c r="V8" s="110">
        <v>142.80000000000001</v>
      </c>
      <c r="W8" s="110">
        <v>4715</v>
      </c>
      <c r="X8" s="106"/>
      <c r="Y8" s="107"/>
      <c r="Z8" s="110">
        <v>39600</v>
      </c>
      <c r="AA8" s="107"/>
      <c r="AB8" s="110">
        <v>4500</v>
      </c>
      <c r="AC8" s="107"/>
      <c r="AD8" s="108"/>
      <c r="AE8" s="108"/>
      <c r="AF8" s="108"/>
      <c r="AG8" s="119"/>
      <c r="AH8" s="88"/>
    </row>
    <row r="9" spans="1:34" ht="43.5" x14ac:dyDescent="0.5">
      <c r="A9" s="110">
        <v>500</v>
      </c>
      <c r="B9" s="102"/>
      <c r="C9" s="101"/>
      <c r="D9" s="101"/>
      <c r="E9" s="101"/>
      <c r="F9" s="101"/>
      <c r="G9" s="101"/>
      <c r="H9" s="110">
        <v>6000</v>
      </c>
      <c r="I9" s="103"/>
      <c r="J9" s="103"/>
      <c r="K9" s="103"/>
      <c r="L9" s="104"/>
      <c r="M9" s="110">
        <v>1200</v>
      </c>
      <c r="N9" s="104"/>
      <c r="O9" s="104"/>
      <c r="P9" s="104"/>
      <c r="Q9" s="104"/>
      <c r="R9" s="104"/>
      <c r="S9" s="115">
        <v>7613.09</v>
      </c>
      <c r="T9" s="106"/>
      <c r="U9" s="106"/>
      <c r="V9" s="106"/>
      <c r="W9" s="110">
        <v>322</v>
      </c>
      <c r="X9" s="106"/>
      <c r="Y9" s="107"/>
      <c r="Z9" s="110">
        <v>49500</v>
      </c>
      <c r="AA9" s="107"/>
      <c r="AB9" s="110">
        <v>1000</v>
      </c>
      <c r="AC9" s="107"/>
      <c r="AD9" s="108"/>
      <c r="AE9" s="108"/>
      <c r="AF9" s="108"/>
      <c r="AG9" s="119"/>
      <c r="AH9" s="88"/>
    </row>
    <row r="10" spans="1:34" ht="43.5" x14ac:dyDescent="0.5">
      <c r="A10" s="110">
        <v>1500</v>
      </c>
      <c r="B10" s="102"/>
      <c r="C10" s="101"/>
      <c r="D10" s="101"/>
      <c r="E10" s="101"/>
      <c r="F10" s="101"/>
      <c r="G10" s="101"/>
      <c r="H10" s="103"/>
      <c r="I10" s="103"/>
      <c r="J10" s="103"/>
      <c r="K10" s="103"/>
      <c r="L10" s="104"/>
      <c r="M10" s="110">
        <v>9000</v>
      </c>
      <c r="N10" s="104"/>
      <c r="O10" s="104"/>
      <c r="P10" s="104"/>
      <c r="Q10" s="104"/>
      <c r="R10" s="104"/>
      <c r="S10" s="105"/>
      <c r="T10" s="106"/>
      <c r="U10" s="106"/>
      <c r="V10" s="106"/>
      <c r="W10" s="110">
        <v>1200</v>
      </c>
      <c r="X10" s="106"/>
      <c r="Y10" s="107"/>
      <c r="Z10" s="110">
        <v>34650</v>
      </c>
      <c r="AA10" s="107"/>
      <c r="AB10" s="110">
        <v>2095</v>
      </c>
      <c r="AC10" s="107"/>
      <c r="AD10" s="108"/>
      <c r="AE10" s="108"/>
      <c r="AF10" s="108"/>
      <c r="AG10" s="119"/>
      <c r="AH10" s="88"/>
    </row>
    <row r="11" spans="1:34" ht="43.5" x14ac:dyDescent="0.5">
      <c r="A11" s="110">
        <v>1890</v>
      </c>
      <c r="B11" s="102"/>
      <c r="C11" s="101"/>
      <c r="D11" s="101"/>
      <c r="E11" s="101"/>
      <c r="F11" s="101"/>
      <c r="G11" s="101"/>
      <c r="H11" s="103"/>
      <c r="I11" s="103"/>
      <c r="J11" s="103"/>
      <c r="K11" s="103"/>
      <c r="L11" s="104"/>
      <c r="M11" s="110">
        <v>4600</v>
      </c>
      <c r="N11" s="104"/>
      <c r="O11" s="104"/>
      <c r="P11" s="104"/>
      <c r="Q11" s="104"/>
      <c r="R11" s="104"/>
      <c r="S11" s="105"/>
      <c r="T11" s="106"/>
      <c r="U11" s="106"/>
      <c r="V11" s="106"/>
      <c r="W11" s="106"/>
      <c r="X11" s="106"/>
      <c r="Y11" s="107"/>
      <c r="Z11" s="110">
        <v>74250</v>
      </c>
      <c r="AA11" s="107"/>
      <c r="AB11" s="110">
        <v>4800</v>
      </c>
      <c r="AC11" s="107"/>
      <c r="AD11" s="108"/>
      <c r="AE11" s="108"/>
      <c r="AF11" s="108"/>
      <c r="AG11" s="119"/>
      <c r="AH11" s="88"/>
    </row>
    <row r="12" spans="1:34" ht="43.5" x14ac:dyDescent="0.5">
      <c r="A12" s="110">
        <v>3195</v>
      </c>
      <c r="B12" s="102"/>
      <c r="C12" s="101"/>
      <c r="D12" s="101"/>
      <c r="E12" s="101"/>
      <c r="F12" s="101"/>
      <c r="G12" s="101"/>
      <c r="H12" s="103"/>
      <c r="I12" s="103"/>
      <c r="J12" s="103"/>
      <c r="K12" s="103"/>
      <c r="L12" s="104"/>
      <c r="M12" s="110">
        <v>2120</v>
      </c>
      <c r="N12" s="104"/>
      <c r="O12" s="104"/>
      <c r="P12" s="104"/>
      <c r="Q12" s="104"/>
      <c r="R12" s="104"/>
      <c r="S12" s="105"/>
      <c r="T12" s="106"/>
      <c r="U12" s="106"/>
      <c r="V12" s="106"/>
      <c r="W12" s="106"/>
      <c r="X12" s="106"/>
      <c r="Y12" s="107"/>
      <c r="Z12" s="110">
        <v>39600</v>
      </c>
      <c r="AA12" s="107"/>
      <c r="AB12" s="110">
        <v>805</v>
      </c>
      <c r="AC12" s="107"/>
      <c r="AD12" s="108"/>
      <c r="AE12" s="108"/>
      <c r="AF12" s="108"/>
      <c r="AG12" s="119"/>
      <c r="AH12" s="88"/>
    </row>
    <row r="13" spans="1:34" ht="43.5" x14ac:dyDescent="0.5">
      <c r="A13" s="110">
        <v>4800</v>
      </c>
      <c r="B13" s="102"/>
      <c r="C13" s="101"/>
      <c r="D13" s="101"/>
      <c r="E13" s="101"/>
      <c r="F13" s="101"/>
      <c r="G13" s="101"/>
      <c r="H13" s="103"/>
      <c r="I13" s="103"/>
      <c r="J13" s="103"/>
      <c r="K13" s="103"/>
      <c r="L13" s="104"/>
      <c r="M13" s="110">
        <v>4150</v>
      </c>
      <c r="N13" s="104"/>
      <c r="O13" s="104"/>
      <c r="P13" s="104"/>
      <c r="Q13" s="104"/>
      <c r="R13" s="104"/>
      <c r="S13" s="105"/>
      <c r="T13" s="106"/>
      <c r="U13" s="106"/>
      <c r="V13" s="106"/>
      <c r="W13" s="106"/>
      <c r="X13" s="106"/>
      <c r="Y13" s="107"/>
      <c r="Z13" s="110">
        <v>49500</v>
      </c>
      <c r="AA13" s="107"/>
      <c r="AB13" s="110">
        <v>1800</v>
      </c>
      <c r="AC13" s="107"/>
      <c r="AD13" s="108"/>
      <c r="AE13" s="108"/>
      <c r="AF13" s="108"/>
      <c r="AG13" s="119"/>
      <c r="AH13" s="88"/>
    </row>
    <row r="14" spans="1:34" ht="43.5" x14ac:dyDescent="0.5">
      <c r="A14" s="110">
        <v>1939</v>
      </c>
      <c r="B14" s="102"/>
      <c r="C14" s="101"/>
      <c r="D14" s="101"/>
      <c r="E14" s="101"/>
      <c r="F14" s="101"/>
      <c r="G14" s="101"/>
      <c r="H14" s="103"/>
      <c r="I14" s="103"/>
      <c r="J14" s="103"/>
      <c r="K14" s="103"/>
      <c r="L14" s="104"/>
      <c r="M14" s="104"/>
      <c r="N14" s="104"/>
      <c r="O14" s="104"/>
      <c r="P14" s="104"/>
      <c r="Q14" s="104"/>
      <c r="R14" s="104"/>
      <c r="S14" s="105"/>
      <c r="T14" s="106"/>
      <c r="U14" s="106"/>
      <c r="V14" s="106"/>
      <c r="W14" s="106"/>
      <c r="X14" s="106"/>
      <c r="Y14" s="107"/>
      <c r="Z14" s="110">
        <v>49500</v>
      </c>
      <c r="AA14" s="107"/>
      <c r="AB14" s="110">
        <v>3025</v>
      </c>
      <c r="AC14" s="107"/>
      <c r="AD14" s="108"/>
      <c r="AE14" s="108"/>
      <c r="AF14" s="108"/>
      <c r="AG14" s="119"/>
      <c r="AH14" s="88"/>
    </row>
    <row r="15" spans="1:34" ht="43.5" x14ac:dyDescent="0.5">
      <c r="A15" s="110">
        <v>3585</v>
      </c>
      <c r="B15" s="102"/>
      <c r="C15" s="101"/>
      <c r="D15" s="101"/>
      <c r="E15" s="101"/>
      <c r="F15" s="101"/>
      <c r="G15" s="101"/>
      <c r="H15" s="103"/>
      <c r="I15" s="103"/>
      <c r="J15" s="103"/>
      <c r="K15" s="103"/>
      <c r="L15" s="104"/>
      <c r="M15" s="104"/>
      <c r="N15" s="104"/>
      <c r="O15" s="104"/>
      <c r="P15" s="104"/>
      <c r="Q15" s="104"/>
      <c r="R15" s="104"/>
      <c r="S15" s="106"/>
      <c r="T15" s="106"/>
      <c r="U15" s="106"/>
      <c r="V15" s="106"/>
      <c r="W15" s="106"/>
      <c r="X15" s="106"/>
      <c r="Y15" s="107"/>
      <c r="Z15" s="110">
        <v>54450</v>
      </c>
      <c r="AA15" s="107"/>
      <c r="AB15" s="107"/>
      <c r="AC15" s="107"/>
      <c r="AD15" s="108"/>
      <c r="AE15" s="108"/>
      <c r="AF15" s="108"/>
      <c r="AG15" s="119"/>
      <c r="AH15" s="88"/>
    </row>
    <row r="16" spans="1:34" ht="21.75" x14ac:dyDescent="0.5">
      <c r="A16" s="110">
        <v>3407</v>
      </c>
      <c r="B16" s="102"/>
      <c r="C16" s="101"/>
      <c r="D16" s="101"/>
      <c r="E16" s="101"/>
      <c r="F16" s="101"/>
      <c r="G16" s="101"/>
      <c r="H16" s="103"/>
      <c r="I16" s="103"/>
      <c r="J16" s="103"/>
      <c r="K16" s="103"/>
      <c r="L16" s="104"/>
      <c r="M16" s="104"/>
      <c r="N16" s="104"/>
      <c r="O16" s="104"/>
      <c r="P16" s="104"/>
      <c r="Q16" s="104"/>
      <c r="R16" s="104"/>
      <c r="S16" s="106"/>
      <c r="T16" s="106"/>
      <c r="U16" s="106"/>
      <c r="V16" s="106"/>
      <c r="W16" s="106"/>
      <c r="X16" s="106"/>
      <c r="Y16" s="107"/>
      <c r="Z16" s="107"/>
      <c r="AA16" s="107"/>
      <c r="AB16" s="107"/>
      <c r="AC16" s="107"/>
      <c r="AD16" s="108"/>
      <c r="AE16" s="108"/>
      <c r="AF16" s="108"/>
      <c r="AG16" s="119"/>
      <c r="AH16" s="88"/>
    </row>
    <row r="17" spans="1:34" ht="21.75" x14ac:dyDescent="0.5">
      <c r="A17" s="110">
        <v>1029</v>
      </c>
      <c r="B17" s="102"/>
      <c r="C17" s="101"/>
      <c r="D17" s="101"/>
      <c r="E17" s="101"/>
      <c r="F17" s="101"/>
      <c r="G17" s="101"/>
      <c r="H17" s="103"/>
      <c r="I17" s="103"/>
      <c r="J17" s="103"/>
      <c r="K17" s="103"/>
      <c r="L17" s="104"/>
      <c r="M17" s="104"/>
      <c r="N17" s="104"/>
      <c r="O17" s="104"/>
      <c r="P17" s="104"/>
      <c r="Q17" s="104"/>
      <c r="R17" s="104"/>
      <c r="S17" s="106"/>
      <c r="T17" s="106"/>
      <c r="U17" s="106"/>
      <c r="V17" s="106"/>
      <c r="W17" s="106"/>
      <c r="X17" s="106"/>
      <c r="Y17" s="107"/>
      <c r="Z17" s="107"/>
      <c r="AA17" s="107"/>
      <c r="AB17" s="107"/>
      <c r="AC17" s="107"/>
      <c r="AD17" s="108"/>
      <c r="AE17" s="108"/>
      <c r="AF17" s="108"/>
      <c r="AG17" s="119"/>
      <c r="AH17" s="88"/>
    </row>
    <row r="18" spans="1:34" ht="43.5" x14ac:dyDescent="0.5">
      <c r="A18" s="110">
        <v>1865</v>
      </c>
      <c r="B18" s="102"/>
      <c r="C18" s="101"/>
      <c r="D18" s="101"/>
      <c r="E18" s="101"/>
      <c r="F18" s="101"/>
      <c r="G18" s="101"/>
      <c r="H18" s="103"/>
      <c r="I18" s="103"/>
      <c r="J18" s="103"/>
      <c r="K18" s="103"/>
      <c r="L18" s="104"/>
      <c r="M18" s="104"/>
      <c r="N18" s="104"/>
      <c r="O18" s="104"/>
      <c r="P18" s="104"/>
      <c r="Q18" s="104"/>
      <c r="R18" s="104"/>
      <c r="S18" s="106"/>
      <c r="T18" s="106"/>
      <c r="U18" s="106"/>
      <c r="V18" s="106"/>
      <c r="W18" s="106"/>
      <c r="X18" s="106"/>
      <c r="Y18" s="107"/>
      <c r="Z18" s="107"/>
      <c r="AA18" s="107"/>
      <c r="AB18" s="107"/>
      <c r="AC18" s="107"/>
      <c r="AD18" s="108"/>
      <c r="AE18" s="108"/>
      <c r="AF18" s="108"/>
      <c r="AG18" s="119"/>
      <c r="AH18" s="88"/>
    </row>
    <row r="19" spans="1:34" ht="21.75" x14ac:dyDescent="0.5">
      <c r="A19" s="110">
        <v>1950</v>
      </c>
      <c r="B19" s="102"/>
      <c r="C19" s="101"/>
      <c r="D19" s="101"/>
      <c r="E19" s="101"/>
      <c r="F19" s="101"/>
      <c r="G19" s="101"/>
      <c r="H19" s="103"/>
      <c r="I19" s="103"/>
      <c r="J19" s="103"/>
      <c r="K19" s="103"/>
      <c r="L19" s="104"/>
      <c r="M19" s="104"/>
      <c r="N19" s="104"/>
      <c r="O19" s="104"/>
      <c r="P19" s="104"/>
      <c r="Q19" s="104"/>
      <c r="R19" s="104"/>
      <c r="S19" s="106"/>
      <c r="T19" s="106"/>
      <c r="U19" s="106"/>
      <c r="V19" s="106"/>
      <c r="W19" s="106"/>
      <c r="X19" s="106"/>
      <c r="Y19" s="107"/>
      <c r="Z19" s="107"/>
      <c r="AA19" s="107"/>
      <c r="AB19" s="107"/>
      <c r="AC19" s="107"/>
      <c r="AD19" s="108"/>
      <c r="AE19" s="108"/>
      <c r="AF19" s="108"/>
      <c r="AG19" s="119"/>
      <c r="AH19" s="88"/>
    </row>
    <row r="20" spans="1:34" ht="21.75" x14ac:dyDescent="0.5">
      <c r="A20" s="101"/>
      <c r="B20" s="102"/>
      <c r="C20" s="101"/>
      <c r="D20" s="101"/>
      <c r="E20" s="101"/>
      <c r="F20" s="101"/>
      <c r="G20" s="101"/>
      <c r="H20" s="103"/>
      <c r="I20" s="103"/>
      <c r="J20" s="103"/>
      <c r="K20" s="103"/>
      <c r="L20" s="104"/>
      <c r="M20" s="104"/>
      <c r="N20" s="104"/>
      <c r="O20" s="104"/>
      <c r="P20" s="104"/>
      <c r="Q20" s="104"/>
      <c r="R20" s="104"/>
      <c r="S20" s="106"/>
      <c r="T20" s="106"/>
      <c r="U20" s="106"/>
      <c r="V20" s="106"/>
      <c r="W20" s="106"/>
      <c r="X20" s="106"/>
      <c r="Y20" s="107"/>
      <c r="Z20" s="107"/>
      <c r="AA20" s="107"/>
      <c r="AB20" s="107"/>
      <c r="AC20" s="107"/>
      <c r="AD20" s="108"/>
      <c r="AE20" s="108"/>
      <c r="AF20" s="108"/>
      <c r="AG20" s="119"/>
      <c r="AH20" s="88"/>
    </row>
    <row r="21" spans="1:34" ht="43.5" x14ac:dyDescent="0.5">
      <c r="A21" s="112">
        <f t="shared" ref="A21:AG21" si="0">SUM(A4:A19)</f>
        <v>40200</v>
      </c>
      <c r="B21" s="112">
        <f t="shared" si="0"/>
        <v>0</v>
      </c>
      <c r="C21" s="112">
        <f t="shared" si="0"/>
        <v>0</v>
      </c>
      <c r="D21" s="112">
        <f t="shared" si="0"/>
        <v>45900</v>
      </c>
      <c r="E21" s="112">
        <f t="shared" si="0"/>
        <v>0</v>
      </c>
      <c r="F21" s="112">
        <f t="shared" si="0"/>
        <v>33380</v>
      </c>
      <c r="G21" s="112">
        <f t="shared" si="0"/>
        <v>0</v>
      </c>
      <c r="H21" s="112">
        <f t="shared" si="0"/>
        <v>60000</v>
      </c>
      <c r="I21" s="113">
        <f t="shared" si="0"/>
        <v>0</v>
      </c>
      <c r="J21" s="113">
        <f t="shared" si="0"/>
        <v>300</v>
      </c>
      <c r="K21" s="113">
        <f t="shared" si="0"/>
        <v>0</v>
      </c>
      <c r="L21" s="113">
        <f t="shared" si="0"/>
        <v>17901.689999999999</v>
      </c>
      <c r="M21" s="113">
        <f t="shared" si="0"/>
        <v>57970</v>
      </c>
      <c r="N21" s="113">
        <f t="shared" si="0"/>
        <v>0</v>
      </c>
      <c r="O21" s="113">
        <f t="shared" si="0"/>
        <v>0</v>
      </c>
      <c r="P21" s="113">
        <f t="shared" si="0"/>
        <v>54000</v>
      </c>
      <c r="Q21" s="113">
        <f t="shared" si="0"/>
        <v>10645</v>
      </c>
      <c r="R21" s="113">
        <f t="shared" si="0"/>
        <v>0</v>
      </c>
      <c r="S21" s="113">
        <f t="shared" si="0"/>
        <v>34503.440000000002</v>
      </c>
      <c r="T21" s="113">
        <f t="shared" si="0"/>
        <v>0</v>
      </c>
      <c r="U21" s="113">
        <f t="shared" si="0"/>
        <v>5935</v>
      </c>
      <c r="V21" s="113">
        <f t="shared" si="0"/>
        <v>1842.4199999999998</v>
      </c>
      <c r="W21" s="113">
        <f t="shared" si="0"/>
        <v>10977</v>
      </c>
      <c r="X21" s="113">
        <f t="shared" si="0"/>
        <v>0</v>
      </c>
      <c r="Y21" s="113">
        <f t="shared" si="0"/>
        <v>49500</v>
      </c>
      <c r="Z21" s="113">
        <f t="shared" si="0"/>
        <v>542278</v>
      </c>
      <c r="AA21" s="113">
        <f t="shared" si="0"/>
        <v>507.45</v>
      </c>
      <c r="AB21" s="113">
        <f t="shared" si="0"/>
        <v>42525</v>
      </c>
      <c r="AC21" s="113">
        <f t="shared" si="0"/>
        <v>66980</v>
      </c>
      <c r="AD21" s="113">
        <f t="shared" si="0"/>
        <v>0</v>
      </c>
      <c r="AE21" s="113">
        <f t="shared" si="0"/>
        <v>1615.74</v>
      </c>
      <c r="AF21" s="113">
        <f t="shared" si="0"/>
        <v>0</v>
      </c>
      <c r="AG21" s="113">
        <f t="shared" si="0"/>
        <v>20000</v>
      </c>
      <c r="AH21" s="114"/>
    </row>
    <row r="22" spans="1:34" ht="21.75" x14ac:dyDescent="0.5">
      <c r="A22" s="88" t="s">
        <v>216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</row>
    <row r="23" spans="1:34" ht="21.75" customHeight="1" x14ac:dyDescent="0.5">
      <c r="A23" s="159" t="s">
        <v>182</v>
      </c>
      <c r="B23" s="160"/>
      <c r="C23" s="160"/>
      <c r="D23" s="160"/>
      <c r="E23" s="160"/>
      <c r="F23" s="160"/>
      <c r="G23" s="161"/>
      <c r="H23" s="155" t="s">
        <v>183</v>
      </c>
      <c r="I23" s="155"/>
      <c r="J23" s="155"/>
      <c r="K23" s="155"/>
      <c r="L23" s="156" t="s">
        <v>184</v>
      </c>
      <c r="M23" s="156"/>
      <c r="N23" s="156"/>
      <c r="O23" s="156"/>
      <c r="P23" s="156"/>
      <c r="Q23" s="156"/>
      <c r="R23" s="156"/>
      <c r="S23" s="157" t="s">
        <v>185</v>
      </c>
      <c r="T23" s="157"/>
      <c r="U23" s="157"/>
      <c r="V23" s="157"/>
      <c r="W23" s="157"/>
      <c r="X23" s="157"/>
      <c r="Y23" s="158" t="s">
        <v>186</v>
      </c>
      <c r="Z23" s="158"/>
      <c r="AA23" s="158"/>
      <c r="AB23" s="158"/>
      <c r="AC23" s="158"/>
      <c r="AD23" s="151" t="s">
        <v>187</v>
      </c>
      <c r="AE23" s="152"/>
      <c r="AF23" s="153"/>
      <c r="AG23" s="104"/>
      <c r="AH23" s="104"/>
    </row>
    <row r="24" spans="1:34" ht="193.5" x14ac:dyDescent="0.5">
      <c r="A24" s="91" t="s">
        <v>188</v>
      </c>
      <c r="B24" s="91" t="s">
        <v>189</v>
      </c>
      <c r="C24" s="91" t="s">
        <v>190</v>
      </c>
      <c r="D24" s="91" t="s">
        <v>191</v>
      </c>
      <c r="E24" s="91" t="s">
        <v>192</v>
      </c>
      <c r="F24" s="91" t="s">
        <v>193</v>
      </c>
      <c r="G24" s="91" t="s">
        <v>194</v>
      </c>
      <c r="H24" s="93" t="s">
        <v>195</v>
      </c>
      <c r="I24" s="93" t="s">
        <v>196</v>
      </c>
      <c r="J24" s="93" t="s">
        <v>197</v>
      </c>
      <c r="K24" s="93" t="s">
        <v>198</v>
      </c>
      <c r="L24" s="95" t="s">
        <v>199</v>
      </c>
      <c r="M24" s="95" t="s">
        <v>200</v>
      </c>
      <c r="N24" s="95" t="s">
        <v>201</v>
      </c>
      <c r="O24" s="95" t="s">
        <v>202</v>
      </c>
      <c r="P24" s="95" t="s">
        <v>203</v>
      </c>
      <c r="Q24" s="95" t="s">
        <v>204</v>
      </c>
      <c r="R24" s="95" t="s">
        <v>205</v>
      </c>
      <c r="S24" s="97" t="s">
        <v>206</v>
      </c>
      <c r="T24" s="97" t="s">
        <v>207</v>
      </c>
      <c r="U24" s="97" t="s">
        <v>132</v>
      </c>
      <c r="V24" s="97" t="s">
        <v>265</v>
      </c>
      <c r="W24" s="97" t="s">
        <v>208</v>
      </c>
      <c r="X24" s="97" t="s">
        <v>209</v>
      </c>
      <c r="Y24" s="98" t="s">
        <v>266</v>
      </c>
      <c r="Z24" s="98" t="s">
        <v>267</v>
      </c>
      <c r="AA24" s="98" t="s">
        <v>210</v>
      </c>
      <c r="AB24" s="98" t="s">
        <v>211</v>
      </c>
      <c r="AC24" s="98" t="s">
        <v>268</v>
      </c>
      <c r="AD24" s="99" t="s">
        <v>212</v>
      </c>
      <c r="AE24" s="99" t="s">
        <v>213</v>
      </c>
      <c r="AF24" s="99" t="s">
        <v>214</v>
      </c>
      <c r="AG24" s="104" t="s">
        <v>136</v>
      </c>
      <c r="AH24" s="104" t="s">
        <v>229</v>
      </c>
    </row>
    <row r="25" spans="1:34" ht="21.75" x14ac:dyDescent="0.5">
      <c r="A25" s="101"/>
      <c r="B25" s="102"/>
      <c r="C25" s="101"/>
      <c r="D25" s="101"/>
      <c r="E25" s="101"/>
      <c r="F25" s="101"/>
      <c r="G25" s="101"/>
      <c r="H25" s="103"/>
      <c r="I25" s="103"/>
      <c r="J25" s="103"/>
      <c r="K25" s="103"/>
      <c r="L25" s="104"/>
      <c r="M25" s="104"/>
      <c r="N25" s="104"/>
      <c r="O25" s="104"/>
      <c r="P25" s="104"/>
      <c r="Q25" s="104"/>
      <c r="R25" s="104"/>
      <c r="S25" s="105"/>
      <c r="T25" s="106"/>
      <c r="U25" s="106"/>
      <c r="V25" s="106"/>
      <c r="W25" s="106"/>
      <c r="X25" s="106"/>
      <c r="Y25" s="107"/>
      <c r="Z25" s="107"/>
      <c r="AA25" s="107"/>
      <c r="AB25" s="107"/>
      <c r="AC25" s="107"/>
      <c r="AD25" s="108"/>
      <c r="AE25" s="109"/>
      <c r="AF25" s="108"/>
      <c r="AG25" s="104"/>
      <c r="AH25" s="104"/>
    </row>
    <row r="26" spans="1:34" ht="21.75" x14ac:dyDescent="0.5">
      <c r="A26" s="101"/>
      <c r="B26" s="102"/>
      <c r="C26" s="101"/>
      <c r="D26" s="101"/>
      <c r="E26" s="101"/>
      <c r="F26" s="101"/>
      <c r="G26" s="101"/>
      <c r="H26" s="103"/>
      <c r="I26" s="103"/>
      <c r="J26" s="103"/>
      <c r="K26" s="103"/>
      <c r="L26" s="104"/>
      <c r="M26" s="104"/>
      <c r="N26" s="104"/>
      <c r="O26" s="104"/>
      <c r="P26" s="104"/>
      <c r="Q26" s="104"/>
      <c r="R26" s="104"/>
      <c r="S26" s="111"/>
      <c r="T26" s="106"/>
      <c r="U26" s="106"/>
      <c r="V26" s="106"/>
      <c r="W26" s="106"/>
      <c r="X26" s="106"/>
      <c r="Y26" s="107"/>
      <c r="Z26" s="107"/>
      <c r="AA26" s="107"/>
      <c r="AB26" s="107"/>
      <c r="AC26" s="107"/>
      <c r="AD26" s="108"/>
      <c r="AE26" s="109"/>
      <c r="AF26" s="108"/>
      <c r="AG26" s="104"/>
      <c r="AH26" s="104"/>
    </row>
    <row r="27" spans="1:34" ht="21.75" x14ac:dyDescent="0.5">
      <c r="A27" s="101"/>
      <c r="B27" s="102"/>
      <c r="C27" s="101"/>
      <c r="D27" s="101"/>
      <c r="E27" s="101"/>
      <c r="F27" s="101"/>
      <c r="G27" s="101"/>
      <c r="H27" s="103"/>
      <c r="I27" s="103"/>
      <c r="J27" s="103"/>
      <c r="K27" s="103"/>
      <c r="L27" s="104"/>
      <c r="M27" s="104"/>
      <c r="N27" s="104"/>
      <c r="O27" s="104"/>
      <c r="P27" s="104"/>
      <c r="Q27" s="104"/>
      <c r="R27" s="104"/>
      <c r="S27" s="111"/>
      <c r="T27" s="106"/>
      <c r="U27" s="106"/>
      <c r="V27" s="106"/>
      <c r="W27" s="106"/>
      <c r="X27" s="106"/>
      <c r="Y27" s="107"/>
      <c r="Z27" s="107"/>
      <c r="AA27" s="107"/>
      <c r="AB27" s="107"/>
      <c r="AC27" s="107"/>
      <c r="AD27" s="108"/>
      <c r="AE27" s="108"/>
      <c r="AF27" s="108"/>
      <c r="AG27" s="104"/>
      <c r="AH27" s="104"/>
    </row>
    <row r="28" spans="1:34" ht="21.75" x14ac:dyDescent="0.5">
      <c r="A28" s="101"/>
      <c r="B28" s="102"/>
      <c r="C28" s="101"/>
      <c r="D28" s="101"/>
      <c r="E28" s="101"/>
      <c r="F28" s="101"/>
      <c r="G28" s="101"/>
      <c r="H28" s="103"/>
      <c r="I28" s="103"/>
      <c r="J28" s="103"/>
      <c r="K28" s="103"/>
      <c r="L28" s="104"/>
      <c r="M28" s="104"/>
      <c r="N28" s="104"/>
      <c r="O28" s="104"/>
      <c r="P28" s="104"/>
      <c r="Q28" s="104"/>
      <c r="R28" s="104"/>
      <c r="S28" s="105"/>
      <c r="T28" s="106"/>
      <c r="U28" s="106"/>
      <c r="V28" s="106"/>
      <c r="W28" s="106"/>
      <c r="X28" s="106"/>
      <c r="Y28" s="107"/>
      <c r="Z28" s="107"/>
      <c r="AA28" s="107"/>
      <c r="AB28" s="107"/>
      <c r="AC28" s="107"/>
      <c r="AD28" s="108"/>
      <c r="AE28" s="108"/>
      <c r="AF28" s="108"/>
      <c r="AG28" s="104"/>
      <c r="AH28" s="104"/>
    </row>
    <row r="29" spans="1:34" ht="21.75" x14ac:dyDescent="0.5">
      <c r="A29" s="101"/>
      <c r="B29" s="102"/>
      <c r="C29" s="101"/>
      <c r="D29" s="101"/>
      <c r="E29" s="101"/>
      <c r="F29" s="101"/>
      <c r="G29" s="101"/>
      <c r="H29" s="103"/>
      <c r="I29" s="103"/>
      <c r="J29" s="103"/>
      <c r="K29" s="103"/>
      <c r="L29" s="104"/>
      <c r="M29" s="104"/>
      <c r="N29" s="104"/>
      <c r="O29" s="104"/>
      <c r="P29" s="104"/>
      <c r="Q29" s="104"/>
      <c r="R29" s="104"/>
      <c r="S29" s="105"/>
      <c r="T29" s="106"/>
      <c r="U29" s="106"/>
      <c r="V29" s="106"/>
      <c r="W29" s="106"/>
      <c r="X29" s="106"/>
      <c r="Y29" s="107"/>
      <c r="Z29" s="107"/>
      <c r="AA29" s="107"/>
      <c r="AB29" s="107"/>
      <c r="AC29" s="107"/>
      <c r="AD29" s="108"/>
      <c r="AE29" s="108"/>
      <c r="AF29" s="108"/>
      <c r="AG29" s="104"/>
      <c r="AH29" s="104"/>
    </row>
    <row r="30" spans="1:34" ht="21.75" x14ac:dyDescent="0.5">
      <c r="A30" s="101"/>
      <c r="B30" s="102"/>
      <c r="C30" s="101"/>
      <c r="D30" s="101"/>
      <c r="E30" s="101"/>
      <c r="F30" s="101"/>
      <c r="G30" s="101"/>
      <c r="H30" s="103"/>
      <c r="I30" s="103"/>
      <c r="J30" s="103"/>
      <c r="K30" s="103"/>
      <c r="L30" s="104"/>
      <c r="M30" s="104"/>
      <c r="N30" s="104"/>
      <c r="O30" s="104"/>
      <c r="P30" s="104"/>
      <c r="Q30" s="104"/>
      <c r="R30" s="104"/>
      <c r="S30" s="105"/>
      <c r="T30" s="106"/>
      <c r="U30" s="106"/>
      <c r="V30" s="106"/>
      <c r="W30" s="106"/>
      <c r="X30" s="106"/>
      <c r="Y30" s="107"/>
      <c r="Z30" s="107"/>
      <c r="AA30" s="107"/>
      <c r="AB30" s="107"/>
      <c r="AC30" s="107"/>
      <c r="AD30" s="108"/>
      <c r="AE30" s="108"/>
      <c r="AF30" s="108"/>
      <c r="AG30" s="104"/>
      <c r="AH30" s="104"/>
    </row>
    <row r="31" spans="1:34" ht="21.75" x14ac:dyDescent="0.5">
      <c r="A31" s="101"/>
      <c r="B31" s="102"/>
      <c r="C31" s="101"/>
      <c r="D31" s="101"/>
      <c r="E31" s="101"/>
      <c r="F31" s="101"/>
      <c r="G31" s="101"/>
      <c r="H31" s="103"/>
      <c r="I31" s="103"/>
      <c r="J31" s="103"/>
      <c r="K31" s="103"/>
      <c r="L31" s="104"/>
      <c r="M31" s="104"/>
      <c r="N31" s="104"/>
      <c r="O31" s="104"/>
      <c r="P31" s="104"/>
      <c r="Q31" s="104"/>
      <c r="R31" s="104"/>
      <c r="S31" s="105"/>
      <c r="T31" s="106"/>
      <c r="U31" s="106"/>
      <c r="V31" s="106"/>
      <c r="W31" s="106"/>
      <c r="X31" s="106"/>
      <c r="Y31" s="107"/>
      <c r="Z31" s="107"/>
      <c r="AA31" s="107"/>
      <c r="AB31" s="107"/>
      <c r="AC31" s="107"/>
      <c r="AD31" s="108"/>
      <c r="AE31" s="108"/>
      <c r="AF31" s="108"/>
      <c r="AG31" s="104"/>
      <c r="AH31" s="104"/>
    </row>
    <row r="32" spans="1:34" ht="21.75" x14ac:dyDescent="0.5">
      <c r="A32" s="101"/>
      <c r="B32" s="102"/>
      <c r="C32" s="101"/>
      <c r="D32" s="101"/>
      <c r="E32" s="101"/>
      <c r="F32" s="101"/>
      <c r="G32" s="101"/>
      <c r="H32" s="103"/>
      <c r="I32" s="103"/>
      <c r="J32" s="103"/>
      <c r="K32" s="103"/>
      <c r="L32" s="104"/>
      <c r="M32" s="104"/>
      <c r="N32" s="104"/>
      <c r="O32" s="104"/>
      <c r="P32" s="104"/>
      <c r="Q32" s="104"/>
      <c r="R32" s="104"/>
      <c r="S32" s="105"/>
      <c r="T32" s="106"/>
      <c r="U32" s="106"/>
      <c r="V32" s="106"/>
      <c r="W32" s="106"/>
      <c r="X32" s="106"/>
      <c r="Y32" s="107"/>
      <c r="Z32" s="107"/>
      <c r="AA32" s="107"/>
      <c r="AB32" s="107"/>
      <c r="AC32" s="107"/>
      <c r="AD32" s="108"/>
      <c r="AE32" s="108"/>
      <c r="AF32" s="108"/>
      <c r="AG32" s="104"/>
      <c r="AH32" s="104"/>
    </row>
    <row r="33" spans="1:34" ht="21.75" x14ac:dyDescent="0.5">
      <c r="A33" s="101"/>
      <c r="B33" s="102"/>
      <c r="C33" s="101"/>
      <c r="D33" s="101"/>
      <c r="E33" s="101"/>
      <c r="F33" s="101"/>
      <c r="G33" s="101"/>
      <c r="H33" s="103"/>
      <c r="I33" s="103"/>
      <c r="J33" s="103"/>
      <c r="K33" s="103"/>
      <c r="L33" s="104"/>
      <c r="M33" s="104"/>
      <c r="N33" s="104"/>
      <c r="O33" s="104"/>
      <c r="P33" s="104"/>
      <c r="Q33" s="104"/>
      <c r="R33" s="104"/>
      <c r="S33" s="105"/>
      <c r="T33" s="106"/>
      <c r="U33" s="106"/>
      <c r="V33" s="106"/>
      <c r="W33" s="106"/>
      <c r="X33" s="106"/>
      <c r="Y33" s="107"/>
      <c r="Z33" s="107"/>
      <c r="AA33" s="107"/>
      <c r="AB33" s="107"/>
      <c r="AC33" s="107"/>
      <c r="AD33" s="108"/>
      <c r="AE33" s="108"/>
      <c r="AF33" s="108"/>
      <c r="AG33" s="104"/>
      <c r="AH33" s="104"/>
    </row>
    <row r="34" spans="1:34" ht="21.75" x14ac:dyDescent="0.5">
      <c r="A34" s="101"/>
      <c r="B34" s="102"/>
      <c r="C34" s="101"/>
      <c r="D34" s="101"/>
      <c r="E34" s="101"/>
      <c r="F34" s="101"/>
      <c r="G34" s="101"/>
      <c r="H34" s="103"/>
      <c r="I34" s="103"/>
      <c r="J34" s="103"/>
      <c r="K34" s="103"/>
      <c r="L34" s="104"/>
      <c r="M34" s="104"/>
      <c r="N34" s="104"/>
      <c r="O34" s="104"/>
      <c r="P34" s="104"/>
      <c r="Q34" s="104"/>
      <c r="R34" s="104"/>
      <c r="S34" s="105"/>
      <c r="T34" s="106"/>
      <c r="U34" s="106"/>
      <c r="V34" s="106"/>
      <c r="W34" s="106"/>
      <c r="X34" s="106"/>
      <c r="Y34" s="107"/>
      <c r="Z34" s="107"/>
      <c r="AA34" s="107"/>
      <c r="AB34" s="107"/>
      <c r="AC34" s="107"/>
      <c r="AD34" s="108"/>
      <c r="AE34" s="108"/>
      <c r="AF34" s="108"/>
      <c r="AG34" s="104"/>
      <c r="AH34" s="104"/>
    </row>
    <row r="35" spans="1:34" ht="21.75" x14ac:dyDescent="0.5">
      <c r="A35" s="101"/>
      <c r="B35" s="102"/>
      <c r="C35" s="101"/>
      <c r="D35" s="101"/>
      <c r="E35" s="101"/>
      <c r="F35" s="101"/>
      <c r="G35" s="101"/>
      <c r="H35" s="103"/>
      <c r="I35" s="103"/>
      <c r="J35" s="103"/>
      <c r="K35" s="103"/>
      <c r="L35" s="104"/>
      <c r="M35" s="104"/>
      <c r="N35" s="104"/>
      <c r="O35" s="104"/>
      <c r="P35" s="104"/>
      <c r="Q35" s="104"/>
      <c r="R35" s="104"/>
      <c r="S35" s="105"/>
      <c r="T35" s="106"/>
      <c r="U35" s="106"/>
      <c r="V35" s="106"/>
      <c r="W35" s="106"/>
      <c r="X35" s="106"/>
      <c r="Y35" s="107"/>
      <c r="Z35" s="107"/>
      <c r="AA35" s="107"/>
      <c r="AB35" s="107"/>
      <c r="AC35" s="107"/>
      <c r="AD35" s="108"/>
      <c r="AE35" s="108"/>
      <c r="AF35" s="108"/>
      <c r="AG35" s="104"/>
      <c r="AH35" s="104"/>
    </row>
    <row r="36" spans="1:34" ht="21.75" x14ac:dyDescent="0.5">
      <c r="A36" s="101"/>
      <c r="B36" s="102"/>
      <c r="C36" s="101"/>
      <c r="D36" s="101"/>
      <c r="E36" s="101"/>
      <c r="F36" s="101"/>
      <c r="G36" s="101"/>
      <c r="H36" s="103"/>
      <c r="I36" s="103"/>
      <c r="J36" s="103"/>
      <c r="K36" s="103"/>
      <c r="L36" s="104"/>
      <c r="M36" s="104"/>
      <c r="N36" s="104"/>
      <c r="O36" s="104"/>
      <c r="P36" s="104"/>
      <c r="Q36" s="104"/>
      <c r="R36" s="104"/>
      <c r="S36" s="105"/>
      <c r="T36" s="106"/>
      <c r="U36" s="106"/>
      <c r="V36" s="106"/>
      <c r="W36" s="106"/>
      <c r="X36" s="106"/>
      <c r="Y36" s="107"/>
      <c r="Z36" s="107"/>
      <c r="AA36" s="107"/>
      <c r="AB36" s="107"/>
      <c r="AC36" s="107"/>
      <c r="AD36" s="108"/>
      <c r="AE36" s="108"/>
      <c r="AF36" s="108"/>
      <c r="AG36" s="104"/>
      <c r="AH36" s="104"/>
    </row>
    <row r="37" spans="1:34" ht="21.75" x14ac:dyDescent="0.5">
      <c r="A37" s="101"/>
      <c r="B37" s="102"/>
      <c r="C37" s="101"/>
      <c r="D37" s="101"/>
      <c r="E37" s="101"/>
      <c r="F37" s="101"/>
      <c r="G37" s="101"/>
      <c r="H37" s="103"/>
      <c r="I37" s="103"/>
      <c r="J37" s="103"/>
      <c r="K37" s="103"/>
      <c r="L37" s="104"/>
      <c r="M37" s="104"/>
      <c r="N37" s="104"/>
      <c r="O37" s="104"/>
      <c r="P37" s="104"/>
      <c r="Q37" s="104"/>
      <c r="R37" s="104"/>
      <c r="S37" s="105"/>
      <c r="T37" s="106"/>
      <c r="U37" s="106"/>
      <c r="V37" s="106"/>
      <c r="W37" s="106"/>
      <c r="X37" s="106"/>
      <c r="Y37" s="107"/>
      <c r="Z37" s="107"/>
      <c r="AA37" s="107"/>
      <c r="AB37" s="107"/>
      <c r="AC37" s="107"/>
      <c r="AD37" s="108"/>
      <c r="AE37" s="108"/>
      <c r="AF37" s="108"/>
      <c r="AG37" s="104"/>
      <c r="AH37" s="104"/>
    </row>
    <row r="38" spans="1:34" ht="21.75" x14ac:dyDescent="0.5">
      <c r="A38" s="101"/>
      <c r="B38" s="102"/>
      <c r="C38" s="101"/>
      <c r="D38" s="101"/>
      <c r="E38" s="101"/>
      <c r="F38" s="101"/>
      <c r="G38" s="101"/>
      <c r="H38" s="103"/>
      <c r="I38" s="103"/>
      <c r="J38" s="103"/>
      <c r="K38" s="103"/>
      <c r="L38" s="104"/>
      <c r="M38" s="104"/>
      <c r="N38" s="104"/>
      <c r="O38" s="104"/>
      <c r="P38" s="104"/>
      <c r="Q38" s="104"/>
      <c r="R38" s="104"/>
      <c r="S38" s="105"/>
      <c r="T38" s="106"/>
      <c r="U38" s="106"/>
      <c r="V38" s="106"/>
      <c r="W38" s="106"/>
      <c r="X38" s="106"/>
      <c r="Y38" s="107"/>
      <c r="Z38" s="107"/>
      <c r="AA38" s="107"/>
      <c r="AB38" s="107"/>
      <c r="AC38" s="107"/>
      <c r="AD38" s="108"/>
      <c r="AE38" s="108"/>
      <c r="AF38" s="108"/>
      <c r="AG38" s="104"/>
      <c r="AH38" s="104"/>
    </row>
    <row r="39" spans="1:34" ht="21.75" x14ac:dyDescent="0.5">
      <c r="A39" s="101"/>
      <c r="B39" s="102"/>
      <c r="C39" s="101"/>
      <c r="D39" s="101"/>
      <c r="E39" s="101"/>
      <c r="F39" s="101"/>
      <c r="G39" s="101"/>
      <c r="H39" s="103"/>
      <c r="I39" s="103"/>
      <c r="J39" s="103"/>
      <c r="K39" s="103"/>
      <c r="L39" s="104"/>
      <c r="M39" s="104"/>
      <c r="N39" s="104"/>
      <c r="O39" s="104"/>
      <c r="P39" s="104"/>
      <c r="Q39" s="104"/>
      <c r="R39" s="104"/>
      <c r="S39" s="105"/>
      <c r="T39" s="106"/>
      <c r="U39" s="106"/>
      <c r="V39" s="106"/>
      <c r="W39" s="106"/>
      <c r="X39" s="106"/>
      <c r="Y39" s="107"/>
      <c r="Z39" s="107"/>
      <c r="AA39" s="107"/>
      <c r="AB39" s="107"/>
      <c r="AC39" s="107"/>
      <c r="AD39" s="108"/>
      <c r="AE39" s="108"/>
      <c r="AF39" s="108"/>
      <c r="AG39" s="104"/>
      <c r="AH39" s="104"/>
    </row>
    <row r="40" spans="1:34" ht="21.75" x14ac:dyDescent="0.5">
      <c r="A40" s="101"/>
      <c r="B40" s="102"/>
      <c r="C40" s="101"/>
      <c r="D40" s="101"/>
      <c r="E40" s="101"/>
      <c r="F40" s="101"/>
      <c r="G40" s="101"/>
      <c r="H40" s="103"/>
      <c r="I40" s="103"/>
      <c r="J40" s="103"/>
      <c r="K40" s="103"/>
      <c r="L40" s="104"/>
      <c r="M40" s="104"/>
      <c r="N40" s="104"/>
      <c r="O40" s="104"/>
      <c r="P40" s="104"/>
      <c r="Q40" s="104"/>
      <c r="R40" s="104"/>
      <c r="S40" s="105"/>
      <c r="T40" s="106"/>
      <c r="U40" s="106"/>
      <c r="V40" s="106"/>
      <c r="W40" s="106"/>
      <c r="X40" s="106"/>
      <c r="Y40" s="107"/>
      <c r="Z40" s="107"/>
      <c r="AA40" s="107"/>
      <c r="AB40" s="107"/>
      <c r="AC40" s="107"/>
      <c r="AD40" s="108"/>
      <c r="AE40" s="108"/>
      <c r="AF40" s="108"/>
      <c r="AG40" s="104"/>
      <c r="AH40" s="104"/>
    </row>
    <row r="41" spans="1:34" ht="21.75" x14ac:dyDescent="0.5">
      <c r="A41" s="101"/>
      <c r="B41" s="102"/>
      <c r="C41" s="101"/>
      <c r="D41" s="101"/>
      <c r="E41" s="101"/>
      <c r="F41" s="101"/>
      <c r="G41" s="101"/>
      <c r="H41" s="103"/>
      <c r="I41" s="103"/>
      <c r="J41" s="103"/>
      <c r="K41" s="103"/>
      <c r="L41" s="104"/>
      <c r="M41" s="104"/>
      <c r="N41" s="104"/>
      <c r="O41" s="104"/>
      <c r="P41" s="104"/>
      <c r="Q41" s="104"/>
      <c r="R41" s="104"/>
      <c r="S41" s="106"/>
      <c r="T41" s="106"/>
      <c r="U41" s="106"/>
      <c r="V41" s="106"/>
      <c r="W41" s="106"/>
      <c r="X41" s="106"/>
      <c r="Y41" s="107"/>
      <c r="Z41" s="107"/>
      <c r="AA41" s="107"/>
      <c r="AB41" s="107"/>
      <c r="AC41" s="107"/>
      <c r="AD41" s="108"/>
      <c r="AE41" s="108"/>
      <c r="AF41" s="108"/>
      <c r="AG41" s="104"/>
      <c r="AH41" s="104"/>
    </row>
    <row r="42" spans="1:34" ht="21.75" x14ac:dyDescent="0.5">
      <c r="A42" s="101"/>
      <c r="B42" s="102"/>
      <c r="C42" s="101"/>
      <c r="D42" s="101"/>
      <c r="E42" s="101"/>
      <c r="F42" s="101"/>
      <c r="G42" s="101"/>
      <c r="H42" s="103"/>
      <c r="I42" s="103"/>
      <c r="J42" s="103"/>
      <c r="K42" s="103"/>
      <c r="L42" s="104"/>
      <c r="M42" s="104"/>
      <c r="N42" s="104"/>
      <c r="O42" s="104"/>
      <c r="P42" s="104"/>
      <c r="Q42" s="104"/>
      <c r="R42" s="104"/>
      <c r="S42" s="106"/>
      <c r="T42" s="106"/>
      <c r="U42" s="106"/>
      <c r="V42" s="106"/>
      <c r="W42" s="106"/>
      <c r="X42" s="106"/>
      <c r="Y42" s="107"/>
      <c r="Z42" s="107"/>
      <c r="AA42" s="107"/>
      <c r="AB42" s="107"/>
      <c r="AC42" s="107"/>
      <c r="AD42" s="108"/>
      <c r="AE42" s="108"/>
      <c r="AF42" s="108"/>
      <c r="AG42" s="104"/>
      <c r="AH42" s="104"/>
    </row>
    <row r="43" spans="1:34" ht="21.75" x14ac:dyDescent="0.5">
      <c r="A43" s="101"/>
      <c r="B43" s="102"/>
      <c r="C43" s="101"/>
      <c r="D43" s="101"/>
      <c r="E43" s="101"/>
      <c r="F43" s="101"/>
      <c r="G43" s="101"/>
      <c r="H43" s="103"/>
      <c r="I43" s="103"/>
      <c r="J43" s="103"/>
      <c r="K43" s="103"/>
      <c r="L43" s="104"/>
      <c r="M43" s="104"/>
      <c r="N43" s="104"/>
      <c r="O43" s="104"/>
      <c r="P43" s="104"/>
      <c r="Q43" s="104"/>
      <c r="R43" s="104"/>
      <c r="S43" s="106"/>
      <c r="T43" s="106"/>
      <c r="U43" s="106"/>
      <c r="V43" s="106"/>
      <c r="W43" s="106"/>
      <c r="X43" s="106"/>
      <c r="Y43" s="107"/>
      <c r="Z43" s="107"/>
      <c r="AA43" s="107"/>
      <c r="AB43" s="107"/>
      <c r="AC43" s="107"/>
      <c r="AD43" s="108"/>
      <c r="AE43" s="108"/>
      <c r="AF43" s="108"/>
      <c r="AG43" s="104"/>
      <c r="AH43" s="104"/>
    </row>
  </sheetData>
  <mergeCells count="12">
    <mergeCell ref="AD23:AF23"/>
    <mergeCell ref="A2:G2"/>
    <mergeCell ref="H2:K2"/>
    <mergeCell ref="L2:R2"/>
    <mergeCell ref="S2:X2"/>
    <mergeCell ref="Y2:AC2"/>
    <mergeCell ref="AD2:AF2"/>
    <mergeCell ref="A23:G23"/>
    <mergeCell ref="H23:K23"/>
    <mergeCell ref="L23:R23"/>
    <mergeCell ref="S23:X23"/>
    <mergeCell ref="Y23:AC23"/>
  </mergeCells>
  <pageMargins left="0.25" right="0.25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5125-F281-4CDA-AA50-62AE7760DCAC}">
  <dimension ref="A1:U73"/>
  <sheetViews>
    <sheetView topLeftCell="A66" zoomScale="66" zoomScaleNormal="66" workbookViewId="0">
      <selection activeCell="P6" sqref="P6"/>
    </sheetView>
  </sheetViews>
  <sheetFormatPr defaultColWidth="9" defaultRowHeight="21" x14ac:dyDescent="0.45"/>
  <cols>
    <col min="1" max="1" width="2" style="41" bestFit="1" customWidth="1"/>
    <col min="2" max="2" width="3" style="41" bestFit="1" customWidth="1"/>
    <col min="3" max="3" width="30.42578125" style="41" customWidth="1"/>
    <col min="4" max="4" width="5.140625" style="42" customWidth="1"/>
    <col min="5" max="5" width="8.5703125" style="42" bestFit="1" customWidth="1"/>
    <col min="6" max="6" width="8.42578125" style="42" bestFit="1" customWidth="1"/>
    <col min="7" max="7" width="7.7109375" style="42" customWidth="1"/>
    <col min="8" max="8" width="8.42578125" style="42" bestFit="1" customWidth="1"/>
    <col min="9" max="9" width="7.7109375" style="42" customWidth="1"/>
    <col min="10" max="10" width="8.28515625" style="42" customWidth="1"/>
    <col min="11" max="11" width="9" style="41"/>
    <col min="12" max="12" width="2.140625" style="41" bestFit="1" customWidth="1"/>
    <col min="13" max="13" width="3.85546875" style="41" bestFit="1" customWidth="1"/>
    <col min="14" max="14" width="57.5703125" style="41" customWidth="1"/>
    <col min="15" max="16384" width="9" style="41"/>
  </cols>
  <sheetData>
    <row r="1" spans="1:21" ht="23.25" x14ac:dyDescent="0.45">
      <c r="A1" s="164" t="s">
        <v>174</v>
      </c>
      <c r="B1" s="164" t="s">
        <v>175</v>
      </c>
      <c r="C1" s="164"/>
      <c r="D1" s="165" t="s">
        <v>176</v>
      </c>
      <c r="E1" s="165"/>
      <c r="F1" s="165"/>
      <c r="G1" s="165"/>
      <c r="H1" s="165"/>
      <c r="I1" s="165"/>
      <c r="J1" s="165"/>
      <c r="L1" s="166" t="s">
        <v>174</v>
      </c>
      <c r="M1" s="166" t="s">
        <v>175</v>
      </c>
      <c r="N1" s="166"/>
      <c r="O1" s="168" t="s">
        <v>228</v>
      </c>
      <c r="P1" s="168"/>
      <c r="Q1" s="168"/>
      <c r="R1" s="168"/>
      <c r="S1" s="168"/>
      <c r="T1" s="168"/>
      <c r="U1" s="168"/>
    </row>
    <row r="2" spans="1:21" ht="23.25" x14ac:dyDescent="0.45">
      <c r="A2" s="164"/>
      <c r="B2" s="164"/>
      <c r="C2" s="164"/>
      <c r="D2" s="165" t="s">
        <v>249</v>
      </c>
      <c r="E2" s="165"/>
      <c r="F2" s="165"/>
      <c r="G2" s="165"/>
      <c r="H2" s="165"/>
      <c r="I2" s="165"/>
      <c r="J2" s="165"/>
      <c r="L2" s="166"/>
      <c r="M2" s="166"/>
      <c r="N2" s="166"/>
      <c r="O2" s="168" t="s">
        <v>250</v>
      </c>
      <c r="P2" s="168"/>
      <c r="Q2" s="168"/>
      <c r="R2" s="168"/>
      <c r="S2" s="168"/>
      <c r="T2" s="168"/>
      <c r="U2" s="168"/>
    </row>
    <row r="3" spans="1:21" ht="23.25" x14ac:dyDescent="0.45">
      <c r="A3" s="164"/>
      <c r="B3" s="164"/>
      <c r="C3" s="164"/>
      <c r="D3" s="167" t="s">
        <v>5</v>
      </c>
      <c r="E3" s="165" t="s">
        <v>177</v>
      </c>
      <c r="F3" s="165"/>
      <c r="G3" s="165"/>
      <c r="H3" s="165"/>
      <c r="I3" s="165"/>
      <c r="J3" s="167" t="s">
        <v>178</v>
      </c>
      <c r="L3" s="166"/>
      <c r="M3" s="166"/>
      <c r="N3" s="166"/>
      <c r="O3" s="169" t="s">
        <v>5</v>
      </c>
      <c r="P3" s="168" t="s">
        <v>177</v>
      </c>
      <c r="Q3" s="168"/>
      <c r="R3" s="168"/>
      <c r="S3" s="168"/>
      <c r="T3" s="168"/>
      <c r="U3" s="169" t="s">
        <v>178</v>
      </c>
    </row>
    <row r="4" spans="1:21" ht="77.25" x14ac:dyDescent="0.45">
      <c r="A4" s="164"/>
      <c r="B4" s="164"/>
      <c r="C4" s="164"/>
      <c r="D4" s="167"/>
      <c r="E4" s="86" t="s">
        <v>179</v>
      </c>
      <c r="F4" s="86" t="s">
        <v>180</v>
      </c>
      <c r="G4" s="86" t="s">
        <v>25</v>
      </c>
      <c r="H4" s="86" t="s">
        <v>181</v>
      </c>
      <c r="I4" s="86" t="s">
        <v>78</v>
      </c>
      <c r="J4" s="167"/>
      <c r="L4" s="166"/>
      <c r="M4" s="166"/>
      <c r="N4" s="166"/>
      <c r="O4" s="169"/>
      <c r="P4" s="52" t="s">
        <v>179</v>
      </c>
      <c r="Q4" s="49" t="s">
        <v>180</v>
      </c>
      <c r="R4" s="52" t="s">
        <v>25</v>
      </c>
      <c r="S4" s="49" t="s">
        <v>181</v>
      </c>
      <c r="T4" s="52" t="s">
        <v>78</v>
      </c>
      <c r="U4" s="169"/>
    </row>
    <row r="5" spans="1:21" ht="46.5" x14ac:dyDescent="0.5">
      <c r="A5" s="48" t="s">
        <v>66</v>
      </c>
      <c r="B5" s="162" t="s">
        <v>67</v>
      </c>
      <c r="C5" s="162"/>
      <c r="D5" s="87">
        <v>0</v>
      </c>
      <c r="E5" s="87">
        <v>0</v>
      </c>
      <c r="F5" s="87">
        <v>0</v>
      </c>
      <c r="G5" s="87">
        <v>0</v>
      </c>
      <c r="H5" s="87">
        <v>0</v>
      </c>
      <c r="I5" s="87">
        <v>0</v>
      </c>
      <c r="J5" s="87"/>
      <c r="L5" s="50" t="s">
        <v>66</v>
      </c>
      <c r="M5" s="163" t="s">
        <v>67</v>
      </c>
      <c r="N5" s="163"/>
      <c r="O5" s="51">
        <v>0</v>
      </c>
      <c r="P5" s="53">
        <v>0</v>
      </c>
      <c r="Q5" s="51">
        <v>0</v>
      </c>
      <c r="R5" s="53">
        <v>0</v>
      </c>
      <c r="S5" s="51">
        <v>0</v>
      </c>
      <c r="T5" s="53">
        <v>0</v>
      </c>
      <c r="U5" s="51"/>
    </row>
    <row r="6" spans="1:21" ht="69.75" x14ac:dyDescent="0.5">
      <c r="A6" s="48"/>
      <c r="B6" s="48" t="s">
        <v>68</v>
      </c>
      <c r="C6" s="48" t="s">
        <v>69</v>
      </c>
      <c r="D6" s="87"/>
      <c r="E6" s="87" t="e">
        <f>#REF!</f>
        <v>#REF!</v>
      </c>
      <c r="F6" s="87"/>
      <c r="G6" s="87"/>
      <c r="H6" s="87"/>
      <c r="I6" s="87"/>
      <c r="J6" s="87"/>
      <c r="L6" s="50"/>
      <c r="M6" s="50" t="s">
        <v>68</v>
      </c>
      <c r="N6" s="50" t="s">
        <v>69</v>
      </c>
      <c r="O6" s="51"/>
      <c r="P6" s="53" t="e">
        <f>#REF!</f>
        <v>#REF!</v>
      </c>
      <c r="Q6" s="51"/>
      <c r="R6" s="53"/>
      <c r="S6" s="51"/>
      <c r="T6" s="53"/>
      <c r="U6" s="51"/>
    </row>
    <row r="7" spans="1:21" ht="46.5" x14ac:dyDescent="0.5">
      <c r="A7" s="48"/>
      <c r="B7" s="48" t="s">
        <v>70</v>
      </c>
      <c r="C7" s="48" t="s">
        <v>71</v>
      </c>
      <c r="D7" s="87"/>
      <c r="E7" s="87"/>
      <c r="F7" s="87"/>
      <c r="G7" s="87"/>
      <c r="H7" s="87"/>
      <c r="I7" s="87"/>
      <c r="J7" s="87"/>
      <c r="L7" s="50"/>
      <c r="M7" s="50" t="s">
        <v>70</v>
      </c>
      <c r="N7" s="50" t="s">
        <v>71</v>
      </c>
      <c r="O7" s="51"/>
      <c r="P7" s="53"/>
      <c r="Q7" s="51"/>
      <c r="R7" s="53"/>
      <c r="S7" s="51"/>
      <c r="T7" s="53"/>
      <c r="U7" s="51"/>
    </row>
    <row r="8" spans="1:21" ht="46.5" x14ac:dyDescent="0.5">
      <c r="A8" s="48"/>
      <c r="B8" s="48" t="s">
        <v>72</v>
      </c>
      <c r="C8" s="48" t="s">
        <v>31</v>
      </c>
      <c r="D8" s="87"/>
      <c r="E8" s="87"/>
      <c r="F8" s="87"/>
      <c r="G8" s="87"/>
      <c r="H8" s="87"/>
      <c r="I8" s="87"/>
      <c r="J8" s="87"/>
      <c r="L8" s="50"/>
      <c r="M8" s="50" t="s">
        <v>72</v>
      </c>
      <c r="N8" s="50" t="s">
        <v>31</v>
      </c>
      <c r="O8" s="51"/>
      <c r="P8" s="53" t="e">
        <f>#REF!</f>
        <v>#REF!</v>
      </c>
      <c r="Q8" s="51"/>
      <c r="R8" s="53"/>
      <c r="S8" s="51"/>
      <c r="T8" s="53"/>
      <c r="U8" s="51"/>
    </row>
    <row r="9" spans="1:21" ht="46.5" x14ac:dyDescent="0.5">
      <c r="A9" s="48"/>
      <c r="B9" s="48" t="s">
        <v>73</v>
      </c>
      <c r="C9" s="48" t="s">
        <v>32</v>
      </c>
      <c r="D9" s="87"/>
      <c r="E9" s="87" t="e">
        <f>#REF!</f>
        <v>#REF!</v>
      </c>
      <c r="F9" s="87"/>
      <c r="G9" s="87"/>
      <c r="H9" s="87"/>
      <c r="I9" s="87"/>
      <c r="J9" s="87"/>
      <c r="L9" s="50"/>
      <c r="M9" s="50" t="s">
        <v>73</v>
      </c>
      <c r="N9" s="50" t="s">
        <v>32</v>
      </c>
      <c r="O9" s="51"/>
      <c r="P9" s="53" t="e">
        <f>#REF!</f>
        <v>#REF!</v>
      </c>
      <c r="Q9" s="51"/>
      <c r="R9" s="53"/>
      <c r="S9" s="51"/>
      <c r="T9" s="53"/>
      <c r="U9" s="51"/>
    </row>
    <row r="10" spans="1:21" ht="46.5" x14ac:dyDescent="0.5">
      <c r="A10" s="48"/>
      <c r="B10" s="48" t="s">
        <v>74</v>
      </c>
      <c r="C10" s="48" t="s">
        <v>39</v>
      </c>
      <c r="D10" s="87"/>
      <c r="E10" s="87"/>
      <c r="F10" s="87"/>
      <c r="G10" s="87"/>
      <c r="H10" s="87"/>
      <c r="I10" s="87"/>
      <c r="J10" s="87"/>
      <c r="L10" s="50"/>
      <c r="M10" s="50" t="s">
        <v>74</v>
      </c>
      <c r="N10" s="50" t="s">
        <v>39</v>
      </c>
      <c r="O10" s="51"/>
      <c r="P10" s="53" t="e">
        <f>#REF!</f>
        <v>#REF!</v>
      </c>
      <c r="Q10" s="51"/>
      <c r="R10" s="53"/>
      <c r="S10" s="51"/>
      <c r="T10" s="53"/>
      <c r="U10" s="51"/>
    </row>
    <row r="11" spans="1:21" ht="46.5" x14ac:dyDescent="0.5">
      <c r="A11" s="48"/>
      <c r="B11" s="48" t="s">
        <v>75</v>
      </c>
      <c r="C11" s="48" t="s">
        <v>76</v>
      </c>
      <c r="D11" s="87"/>
      <c r="E11" s="87" t="e">
        <f>#REF!</f>
        <v>#REF!</v>
      </c>
      <c r="F11" s="87"/>
      <c r="G11" s="87"/>
      <c r="H11" s="87"/>
      <c r="I11" s="87"/>
      <c r="J11" s="87"/>
      <c r="L11" s="50"/>
      <c r="M11" s="50" t="s">
        <v>75</v>
      </c>
      <c r="N11" s="50" t="s">
        <v>76</v>
      </c>
      <c r="O11" s="51"/>
      <c r="P11" s="53" t="e">
        <f>#REF!</f>
        <v>#REF!</v>
      </c>
      <c r="Q11" s="51"/>
      <c r="R11" s="53"/>
      <c r="S11" s="51"/>
      <c r="T11" s="53"/>
      <c r="U11" s="51"/>
    </row>
    <row r="12" spans="1:21" ht="46.5" x14ac:dyDescent="0.5">
      <c r="A12" s="48"/>
      <c r="B12" s="48" t="s">
        <v>77</v>
      </c>
      <c r="C12" s="48" t="s">
        <v>78</v>
      </c>
      <c r="D12" s="87"/>
      <c r="E12" s="87"/>
      <c r="F12" s="87"/>
      <c r="G12" s="87"/>
      <c r="H12" s="87"/>
      <c r="I12" s="87"/>
      <c r="J12" s="87"/>
      <c r="L12" s="50"/>
      <c r="M12" s="50" t="s">
        <v>77</v>
      </c>
      <c r="N12" s="50" t="s">
        <v>78</v>
      </c>
      <c r="O12" s="51"/>
      <c r="P12" s="53"/>
      <c r="Q12" s="51"/>
      <c r="R12" s="53"/>
      <c r="S12" s="51"/>
      <c r="T12" s="53"/>
      <c r="U12" s="51"/>
    </row>
    <row r="13" spans="1:21" ht="46.5" x14ac:dyDescent="0.5">
      <c r="A13" s="48" t="s">
        <v>79</v>
      </c>
      <c r="B13" s="162" t="s">
        <v>80</v>
      </c>
      <c r="C13" s="162"/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/>
      <c r="L13" s="50" t="s">
        <v>79</v>
      </c>
      <c r="M13" s="163" t="s">
        <v>80</v>
      </c>
      <c r="N13" s="163"/>
      <c r="O13" s="51">
        <v>0</v>
      </c>
      <c r="P13" s="53">
        <v>0</v>
      </c>
      <c r="Q13" s="51">
        <v>0</v>
      </c>
      <c r="R13" s="53">
        <v>0</v>
      </c>
      <c r="S13" s="51">
        <v>0</v>
      </c>
      <c r="T13" s="53">
        <v>0</v>
      </c>
      <c r="U13" s="51"/>
    </row>
    <row r="14" spans="1:21" ht="46.5" x14ac:dyDescent="0.5">
      <c r="A14" s="48"/>
      <c r="B14" s="48" t="s">
        <v>81</v>
      </c>
      <c r="C14" s="48" t="s">
        <v>82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/>
      <c r="L14" s="50"/>
      <c r="M14" s="50" t="s">
        <v>81</v>
      </c>
      <c r="N14" s="50" t="s">
        <v>82</v>
      </c>
      <c r="O14" s="51">
        <v>0</v>
      </c>
      <c r="P14" s="53">
        <v>0</v>
      </c>
      <c r="Q14" s="51">
        <v>0</v>
      </c>
      <c r="R14" s="53">
        <v>0</v>
      </c>
      <c r="S14" s="51">
        <v>0</v>
      </c>
      <c r="T14" s="53">
        <v>0</v>
      </c>
      <c r="U14" s="51"/>
    </row>
    <row r="15" spans="1:21" ht="139.5" x14ac:dyDescent="0.5">
      <c r="A15" s="48"/>
      <c r="B15" s="48"/>
      <c r="C15" s="48" t="s">
        <v>83</v>
      </c>
      <c r="D15" s="87">
        <v>0</v>
      </c>
      <c r="E15" s="87"/>
      <c r="F15" s="87"/>
      <c r="G15" s="87"/>
      <c r="H15" s="87"/>
      <c r="I15" s="87"/>
      <c r="J15" s="87"/>
      <c r="L15" s="50"/>
      <c r="M15" s="50"/>
      <c r="N15" s="50" t="s">
        <v>83</v>
      </c>
      <c r="O15" s="51">
        <v>0</v>
      </c>
      <c r="P15" s="53"/>
      <c r="Q15" s="51"/>
      <c r="R15" s="53"/>
      <c r="S15" s="51"/>
      <c r="T15" s="53"/>
      <c r="U15" s="51"/>
    </row>
    <row r="16" spans="1:21" ht="69.75" x14ac:dyDescent="0.5">
      <c r="A16" s="48" t="s">
        <v>60</v>
      </c>
      <c r="B16" s="48"/>
      <c r="C16" s="48" t="s">
        <v>84</v>
      </c>
      <c r="D16" s="87">
        <v>0</v>
      </c>
      <c r="E16" s="87"/>
      <c r="F16" s="87"/>
      <c r="G16" s="87"/>
      <c r="H16" s="87"/>
      <c r="I16" s="87"/>
      <c r="J16" s="87"/>
      <c r="L16" s="50" t="s">
        <v>60</v>
      </c>
      <c r="M16" s="50"/>
      <c r="N16" s="50" t="s">
        <v>84</v>
      </c>
      <c r="O16" s="51">
        <v>0</v>
      </c>
      <c r="P16" s="53"/>
      <c r="Q16" s="51"/>
      <c r="R16" s="53"/>
      <c r="S16" s="51"/>
      <c r="T16" s="53"/>
      <c r="U16" s="51"/>
    </row>
    <row r="17" spans="1:21" ht="46.5" x14ac:dyDescent="0.5">
      <c r="A17" s="48"/>
      <c r="B17" s="48"/>
      <c r="C17" s="48" t="s">
        <v>85</v>
      </c>
      <c r="D17" s="87"/>
      <c r="E17" s="87"/>
      <c r="F17" s="87"/>
      <c r="G17" s="87"/>
      <c r="H17" s="87"/>
      <c r="I17" s="87"/>
      <c r="J17" s="87"/>
      <c r="L17" s="50"/>
      <c r="M17" s="50"/>
      <c r="N17" s="50" t="s">
        <v>85</v>
      </c>
      <c r="O17" s="51"/>
      <c r="P17" s="53"/>
      <c r="Q17" s="51"/>
      <c r="R17" s="53"/>
      <c r="S17" s="51"/>
      <c r="T17" s="53"/>
      <c r="U17" s="51"/>
    </row>
    <row r="18" spans="1:21" ht="93" x14ac:dyDescent="0.5">
      <c r="A18" s="48"/>
      <c r="B18" s="48"/>
      <c r="C18" s="48" t="s">
        <v>86</v>
      </c>
      <c r="D18" s="87"/>
      <c r="E18" s="87"/>
      <c r="F18" s="87"/>
      <c r="G18" s="87" t="e">
        <f>#REF!</f>
        <v>#REF!</v>
      </c>
      <c r="H18" s="87"/>
      <c r="I18" s="87"/>
      <c r="J18" s="87"/>
      <c r="L18" s="50"/>
      <c r="M18" s="50"/>
      <c r="N18" s="50" t="s">
        <v>86</v>
      </c>
      <c r="O18" s="51"/>
      <c r="P18" s="53"/>
      <c r="Q18" s="51"/>
      <c r="R18" s="53" t="e">
        <f>#REF!</f>
        <v>#REF!</v>
      </c>
      <c r="S18" s="51"/>
      <c r="T18" s="53"/>
      <c r="U18" s="51"/>
    </row>
    <row r="19" spans="1:21" ht="69.75" x14ac:dyDescent="0.5">
      <c r="A19" s="48"/>
      <c r="B19" s="48"/>
      <c r="C19" s="48" t="s">
        <v>87</v>
      </c>
      <c r="D19" s="87">
        <v>0</v>
      </c>
      <c r="E19" s="87"/>
      <c r="F19" s="87"/>
      <c r="G19" s="87"/>
      <c r="H19" s="87"/>
      <c r="I19" s="87"/>
      <c r="J19" s="87"/>
      <c r="L19" s="50"/>
      <c r="M19" s="50"/>
      <c r="N19" s="50" t="s">
        <v>87</v>
      </c>
      <c r="O19" s="51">
        <v>0</v>
      </c>
      <c r="P19" s="53"/>
      <c r="Q19" s="51"/>
      <c r="R19" s="53"/>
      <c r="S19" s="51"/>
      <c r="T19" s="53"/>
      <c r="U19" s="51"/>
    </row>
    <row r="20" spans="1:21" ht="69.75" x14ac:dyDescent="0.5">
      <c r="A20" s="48"/>
      <c r="B20" s="48"/>
      <c r="C20" s="48" t="s">
        <v>88</v>
      </c>
      <c r="D20" s="87">
        <v>0</v>
      </c>
      <c r="E20" s="87"/>
      <c r="F20" s="87"/>
      <c r="G20" s="87"/>
      <c r="H20" s="87"/>
      <c r="I20" s="87"/>
      <c r="J20" s="87"/>
      <c r="L20" s="50"/>
      <c r="M20" s="50"/>
      <c r="N20" s="50" t="s">
        <v>88</v>
      </c>
      <c r="O20" s="51">
        <v>0</v>
      </c>
      <c r="P20" s="53"/>
      <c r="Q20" s="51"/>
      <c r="R20" s="53"/>
      <c r="S20" s="51"/>
      <c r="T20" s="53"/>
      <c r="U20" s="51"/>
    </row>
    <row r="21" spans="1:21" ht="46.5" x14ac:dyDescent="0.5">
      <c r="A21" s="48"/>
      <c r="B21" s="48"/>
      <c r="C21" s="48" t="s">
        <v>89</v>
      </c>
      <c r="D21" s="87">
        <v>0</v>
      </c>
      <c r="E21" s="87"/>
      <c r="F21" s="87"/>
      <c r="G21" s="87"/>
      <c r="H21" s="87"/>
      <c r="I21" s="87"/>
      <c r="J21" s="87"/>
      <c r="L21" s="50"/>
      <c r="M21" s="50"/>
      <c r="N21" s="50" t="s">
        <v>89</v>
      </c>
      <c r="O21" s="51">
        <v>0</v>
      </c>
      <c r="P21" s="53"/>
      <c r="Q21" s="51"/>
      <c r="R21" s="53"/>
      <c r="S21" s="51"/>
      <c r="T21" s="53"/>
      <c r="U21" s="51"/>
    </row>
    <row r="22" spans="1:21" ht="93" x14ac:dyDescent="0.5">
      <c r="A22" s="48"/>
      <c r="B22" s="48"/>
      <c r="C22" s="48" t="s">
        <v>90</v>
      </c>
      <c r="D22" s="87"/>
      <c r="E22" s="87"/>
      <c r="F22" s="87"/>
      <c r="G22" s="87"/>
      <c r="H22" s="87"/>
      <c r="I22" s="87"/>
      <c r="J22" s="87"/>
      <c r="L22" s="50"/>
      <c r="M22" s="50"/>
      <c r="N22" s="50" t="s">
        <v>90</v>
      </c>
      <c r="O22" s="51"/>
      <c r="P22" s="53"/>
      <c r="Q22" s="51"/>
      <c r="R22" s="53"/>
      <c r="S22" s="51"/>
      <c r="T22" s="53"/>
      <c r="U22" s="51"/>
    </row>
    <row r="23" spans="1:21" ht="93" x14ac:dyDescent="0.5">
      <c r="A23" s="48"/>
      <c r="B23" s="48"/>
      <c r="C23" s="48" t="s">
        <v>91</v>
      </c>
      <c r="D23" s="87"/>
      <c r="E23" s="87"/>
      <c r="F23" s="87"/>
      <c r="G23" s="87"/>
      <c r="H23" s="87"/>
      <c r="I23" s="87"/>
      <c r="J23" s="87"/>
      <c r="L23" s="50"/>
      <c r="M23" s="50"/>
      <c r="N23" s="50" t="s">
        <v>91</v>
      </c>
      <c r="O23" s="51"/>
      <c r="P23" s="53"/>
      <c r="Q23" s="51"/>
      <c r="R23" s="53"/>
      <c r="S23" s="51"/>
      <c r="T23" s="53"/>
      <c r="U23" s="51"/>
    </row>
    <row r="24" spans="1:21" ht="69.75" x14ac:dyDescent="0.5">
      <c r="A24" s="48"/>
      <c r="B24" s="48"/>
      <c r="C24" s="48" t="s">
        <v>92</v>
      </c>
      <c r="D24" s="87">
        <v>0</v>
      </c>
      <c r="E24" s="87"/>
      <c r="F24" s="87"/>
      <c r="G24" s="87"/>
      <c r="H24" s="87"/>
      <c r="I24" s="87"/>
      <c r="J24" s="87"/>
      <c r="L24" s="50"/>
      <c r="M24" s="50"/>
      <c r="N24" s="50" t="s">
        <v>92</v>
      </c>
      <c r="O24" s="51">
        <v>0</v>
      </c>
      <c r="P24" s="53"/>
      <c r="Q24" s="51"/>
      <c r="R24" s="53"/>
      <c r="S24" s="51"/>
      <c r="T24" s="53"/>
      <c r="U24" s="51"/>
    </row>
    <row r="25" spans="1:21" ht="69.75" x14ac:dyDescent="0.5">
      <c r="A25" s="48"/>
      <c r="B25" s="48"/>
      <c r="C25" s="48" t="s">
        <v>93</v>
      </c>
      <c r="D25" s="87">
        <v>0</v>
      </c>
      <c r="E25" s="87"/>
      <c r="F25" s="87"/>
      <c r="G25" s="87"/>
      <c r="H25" s="87"/>
      <c r="I25" s="87"/>
      <c r="J25" s="87"/>
      <c r="L25" s="50"/>
      <c r="M25" s="50"/>
      <c r="N25" s="50" t="s">
        <v>93</v>
      </c>
      <c r="O25" s="51">
        <v>0</v>
      </c>
      <c r="P25" s="53"/>
      <c r="Q25" s="51"/>
      <c r="R25" s="53"/>
      <c r="S25" s="51"/>
      <c r="T25" s="53"/>
      <c r="U25" s="51"/>
    </row>
    <row r="26" spans="1:21" ht="116.25" x14ac:dyDescent="0.5">
      <c r="A26" s="48"/>
      <c r="B26" s="48"/>
      <c r="C26" s="48" t="s">
        <v>94</v>
      </c>
      <c r="D26" s="87">
        <v>0</v>
      </c>
      <c r="E26" s="87"/>
      <c r="F26" s="87"/>
      <c r="G26" s="87"/>
      <c r="H26" s="87"/>
      <c r="I26" s="87"/>
      <c r="J26" s="87"/>
      <c r="L26" s="50"/>
      <c r="M26" s="50"/>
      <c r="N26" s="50" t="s">
        <v>94</v>
      </c>
      <c r="O26" s="51">
        <v>0</v>
      </c>
      <c r="P26" s="53"/>
      <c r="Q26" s="51"/>
      <c r="R26" s="53"/>
      <c r="S26" s="51"/>
      <c r="T26" s="53"/>
      <c r="U26" s="51"/>
    </row>
    <row r="27" spans="1:21" ht="116.25" x14ac:dyDescent="0.5">
      <c r="A27" s="48"/>
      <c r="B27" s="48"/>
      <c r="C27" s="48" t="s">
        <v>95</v>
      </c>
      <c r="D27" s="87">
        <v>0</v>
      </c>
      <c r="E27" s="87"/>
      <c r="F27" s="87"/>
      <c r="G27" s="87"/>
      <c r="H27" s="87"/>
      <c r="I27" s="87"/>
      <c r="J27" s="87"/>
      <c r="L27" s="50"/>
      <c r="M27" s="50"/>
      <c r="N27" s="50" t="s">
        <v>95</v>
      </c>
      <c r="O27" s="51">
        <v>0</v>
      </c>
      <c r="P27" s="53"/>
      <c r="Q27" s="51"/>
      <c r="R27" s="53"/>
      <c r="S27" s="51"/>
      <c r="T27" s="53"/>
      <c r="U27" s="51"/>
    </row>
    <row r="28" spans="1:21" ht="46.5" x14ac:dyDescent="0.5">
      <c r="A28" s="48"/>
      <c r="B28" s="48"/>
      <c r="C28" s="48" t="s">
        <v>96</v>
      </c>
      <c r="D28" s="87">
        <v>0</v>
      </c>
      <c r="E28" s="87"/>
      <c r="F28" s="87"/>
      <c r="G28" s="87"/>
      <c r="H28" s="87"/>
      <c r="I28" s="87"/>
      <c r="J28" s="87"/>
      <c r="L28" s="50"/>
      <c r="M28" s="50"/>
      <c r="N28" s="50" t="s">
        <v>96</v>
      </c>
      <c r="O28" s="51">
        <v>0</v>
      </c>
      <c r="P28" s="53"/>
      <c r="Q28" s="51"/>
      <c r="R28" s="53"/>
      <c r="S28" s="51"/>
      <c r="T28" s="53"/>
      <c r="U28" s="51"/>
    </row>
    <row r="29" spans="1:21" ht="46.5" x14ac:dyDescent="0.5">
      <c r="A29" s="48"/>
      <c r="B29" s="48" t="s">
        <v>97</v>
      </c>
      <c r="C29" s="48" t="s">
        <v>98</v>
      </c>
      <c r="D29" s="87"/>
      <c r="E29" s="87"/>
      <c r="F29" s="87"/>
      <c r="G29" s="87"/>
      <c r="H29" s="87"/>
      <c r="I29" s="87"/>
      <c r="J29" s="87"/>
      <c r="L29" s="50"/>
      <c r="M29" s="50" t="s">
        <v>97</v>
      </c>
      <c r="N29" s="50" t="s">
        <v>98</v>
      </c>
      <c r="O29" s="51"/>
      <c r="P29" s="53"/>
      <c r="Q29" s="51"/>
      <c r="R29" s="53"/>
      <c r="S29" s="51"/>
      <c r="T29" s="53"/>
      <c r="U29" s="51"/>
    </row>
    <row r="30" spans="1:21" ht="46.5" x14ac:dyDescent="0.5">
      <c r="A30" s="48"/>
      <c r="B30" s="48" t="s">
        <v>99</v>
      </c>
      <c r="C30" s="48" t="s">
        <v>78</v>
      </c>
      <c r="D30" s="87"/>
      <c r="E30" s="87"/>
      <c r="F30" s="87"/>
      <c r="G30" s="87"/>
      <c r="H30" s="87"/>
      <c r="I30" s="87"/>
      <c r="J30" s="87"/>
      <c r="L30" s="50"/>
      <c r="M30" s="50" t="s">
        <v>99</v>
      </c>
      <c r="N30" s="50" t="s">
        <v>78</v>
      </c>
      <c r="O30" s="51"/>
      <c r="P30" s="53"/>
      <c r="Q30" s="51"/>
      <c r="R30" s="53"/>
      <c r="S30" s="51"/>
      <c r="T30" s="53"/>
      <c r="U30" s="51"/>
    </row>
    <row r="31" spans="1:21" ht="46.5" x14ac:dyDescent="0.5">
      <c r="A31" s="48" t="s">
        <v>100</v>
      </c>
      <c r="B31" s="162" t="s">
        <v>101</v>
      </c>
      <c r="C31" s="162"/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/>
      <c r="L31" s="50" t="s">
        <v>100</v>
      </c>
      <c r="M31" s="163" t="s">
        <v>101</v>
      </c>
      <c r="N31" s="163"/>
      <c r="O31" s="51">
        <v>0</v>
      </c>
      <c r="P31" s="53">
        <v>0</v>
      </c>
      <c r="Q31" s="51">
        <v>0</v>
      </c>
      <c r="R31" s="53">
        <v>0</v>
      </c>
      <c r="S31" s="51">
        <v>0</v>
      </c>
      <c r="T31" s="53">
        <v>0</v>
      </c>
      <c r="U31" s="51"/>
    </row>
    <row r="32" spans="1:21" ht="46.5" x14ac:dyDescent="0.5">
      <c r="A32" s="48"/>
      <c r="B32" s="48" t="s">
        <v>102</v>
      </c>
      <c r="C32" s="48" t="s">
        <v>103</v>
      </c>
      <c r="D32" s="87"/>
      <c r="E32" s="87"/>
      <c r="F32" s="87"/>
      <c r="G32" s="87"/>
      <c r="H32" s="87"/>
      <c r="I32" s="87"/>
      <c r="J32" s="87"/>
      <c r="L32" s="50"/>
      <c r="M32" s="50" t="s">
        <v>102</v>
      </c>
      <c r="N32" s="50" t="s">
        <v>103</v>
      </c>
      <c r="O32" s="51"/>
      <c r="P32" s="53" t="e">
        <f>#REF!</f>
        <v>#REF!</v>
      </c>
      <c r="Q32" s="51"/>
      <c r="R32" s="53"/>
      <c r="S32" s="51"/>
      <c r="T32" s="53"/>
      <c r="U32" s="51"/>
    </row>
    <row r="33" spans="1:21" ht="46.5" x14ac:dyDescent="0.5">
      <c r="A33" s="48"/>
      <c r="B33" s="48" t="s">
        <v>104</v>
      </c>
      <c r="C33" s="48" t="s">
        <v>105</v>
      </c>
      <c r="D33" s="87"/>
      <c r="E33" s="87" t="e">
        <f>#REF!</f>
        <v>#REF!</v>
      </c>
      <c r="F33" s="87"/>
      <c r="G33" s="87"/>
      <c r="H33" s="87"/>
      <c r="I33" s="87"/>
      <c r="J33" s="87"/>
      <c r="L33" s="50"/>
      <c r="M33" s="50" t="s">
        <v>104</v>
      </c>
      <c r="N33" s="50" t="s">
        <v>105</v>
      </c>
      <c r="O33" s="51"/>
      <c r="P33" s="53" t="e">
        <f>#REF!</f>
        <v>#REF!</v>
      </c>
      <c r="Q33" s="51"/>
      <c r="R33" s="53"/>
      <c r="S33" s="51"/>
      <c r="T33" s="53"/>
      <c r="U33" s="51"/>
    </row>
    <row r="34" spans="1:21" ht="46.5" x14ac:dyDescent="0.5">
      <c r="A34" s="48"/>
      <c r="B34" s="48" t="s">
        <v>106</v>
      </c>
      <c r="C34" s="48" t="s">
        <v>107</v>
      </c>
      <c r="D34" s="87"/>
      <c r="E34" s="87"/>
      <c r="F34" s="87"/>
      <c r="G34" s="87"/>
      <c r="H34" s="87"/>
      <c r="I34" s="87"/>
      <c r="J34" s="87"/>
      <c r="L34" s="50"/>
      <c r="M34" s="50" t="s">
        <v>106</v>
      </c>
      <c r="N34" s="50" t="s">
        <v>107</v>
      </c>
      <c r="O34" s="51"/>
      <c r="P34" s="53"/>
      <c r="Q34" s="51"/>
      <c r="R34" s="53"/>
      <c r="S34" s="51"/>
      <c r="T34" s="53"/>
      <c r="U34" s="51"/>
    </row>
    <row r="35" spans="1:21" ht="46.5" x14ac:dyDescent="0.5">
      <c r="A35" s="48"/>
      <c r="B35" s="48" t="s">
        <v>108</v>
      </c>
      <c r="C35" s="48" t="s">
        <v>109</v>
      </c>
      <c r="D35" s="87"/>
      <c r="E35" s="87"/>
      <c r="F35" s="87"/>
      <c r="G35" s="87"/>
      <c r="H35" s="87"/>
      <c r="I35" s="87"/>
      <c r="J35" s="87"/>
      <c r="L35" s="50"/>
      <c r="M35" s="50" t="s">
        <v>108</v>
      </c>
      <c r="N35" s="50" t="s">
        <v>109</v>
      </c>
      <c r="O35" s="51"/>
      <c r="P35" s="53" t="e">
        <f>#REF!</f>
        <v>#REF!</v>
      </c>
      <c r="Q35" s="51"/>
      <c r="R35" s="53"/>
      <c r="S35" s="51"/>
      <c r="T35" s="53"/>
      <c r="U35" s="51"/>
    </row>
    <row r="36" spans="1:21" ht="69.75" x14ac:dyDescent="0.5">
      <c r="A36" s="48"/>
      <c r="B36" s="48" t="s">
        <v>110</v>
      </c>
      <c r="C36" s="48" t="s">
        <v>111</v>
      </c>
      <c r="D36" s="87"/>
      <c r="E36" s="87" t="e">
        <f>#REF!</f>
        <v>#REF!</v>
      </c>
      <c r="F36" s="87"/>
      <c r="G36" s="87"/>
      <c r="H36" s="87"/>
      <c r="I36" s="87"/>
      <c r="J36" s="87"/>
      <c r="L36" s="50"/>
      <c r="M36" s="50" t="s">
        <v>110</v>
      </c>
      <c r="N36" s="50" t="s">
        <v>111</v>
      </c>
      <c r="O36" s="51"/>
      <c r="P36" s="53" t="e">
        <f>#REF!</f>
        <v>#REF!</v>
      </c>
      <c r="Q36" s="51"/>
      <c r="R36" s="53"/>
      <c r="S36" s="51"/>
      <c r="T36" s="53"/>
      <c r="U36" s="51"/>
    </row>
    <row r="37" spans="1:21" ht="46.5" x14ac:dyDescent="0.5">
      <c r="A37" s="48"/>
      <c r="B37" s="48" t="s">
        <v>112</v>
      </c>
      <c r="C37" s="48" t="s">
        <v>113</v>
      </c>
      <c r="D37" s="87"/>
      <c r="E37" s="87"/>
      <c r="F37" s="87"/>
      <c r="G37" s="87"/>
      <c r="H37" s="87"/>
      <c r="I37" s="87"/>
      <c r="J37" s="87"/>
      <c r="L37" s="50"/>
      <c r="M37" s="50" t="s">
        <v>112</v>
      </c>
      <c r="N37" s="50" t="s">
        <v>113</v>
      </c>
      <c r="O37" s="51"/>
      <c r="P37" s="53"/>
      <c r="Q37" s="51"/>
      <c r="R37" s="53"/>
      <c r="S37" s="51"/>
      <c r="T37" s="53"/>
      <c r="U37" s="51"/>
    </row>
    <row r="38" spans="1:21" ht="46.5" x14ac:dyDescent="0.5">
      <c r="A38" s="48"/>
      <c r="B38" s="48" t="s">
        <v>114</v>
      </c>
      <c r="C38" s="48" t="s">
        <v>115</v>
      </c>
      <c r="D38" s="87"/>
      <c r="E38" s="87" t="e">
        <f>#REF!</f>
        <v>#REF!</v>
      </c>
      <c r="F38" s="87"/>
      <c r="G38" s="87"/>
      <c r="H38" s="87"/>
      <c r="I38" s="87"/>
      <c r="J38" s="87"/>
      <c r="L38" s="50"/>
      <c r="M38" s="50" t="s">
        <v>114</v>
      </c>
      <c r="N38" s="50" t="s">
        <v>115</v>
      </c>
      <c r="O38" s="51"/>
      <c r="P38" s="53" t="e">
        <f>#REF!</f>
        <v>#REF!</v>
      </c>
      <c r="Q38" s="51"/>
      <c r="R38" s="53"/>
      <c r="S38" s="51"/>
      <c r="T38" s="53"/>
      <c r="U38" s="51"/>
    </row>
    <row r="39" spans="1:21" ht="46.5" x14ac:dyDescent="0.5">
      <c r="A39" s="48"/>
      <c r="B39" s="48" t="s">
        <v>116</v>
      </c>
      <c r="C39" s="48" t="s">
        <v>117</v>
      </c>
      <c r="D39" s="87"/>
      <c r="E39" s="87"/>
      <c r="F39" s="87"/>
      <c r="G39" s="87"/>
      <c r="H39" s="87"/>
      <c r="I39" s="87"/>
      <c r="J39" s="87"/>
      <c r="L39" s="50"/>
      <c r="M39" s="50" t="s">
        <v>116</v>
      </c>
      <c r="N39" s="50" t="s">
        <v>117</v>
      </c>
      <c r="O39" s="51"/>
      <c r="P39" s="53"/>
      <c r="Q39" s="51"/>
      <c r="R39" s="53"/>
      <c r="S39" s="51"/>
      <c r="T39" s="53"/>
      <c r="U39" s="51"/>
    </row>
    <row r="40" spans="1:21" ht="46.5" x14ac:dyDescent="0.5">
      <c r="A40" s="48" t="s">
        <v>118</v>
      </c>
      <c r="B40" s="162" t="s">
        <v>119</v>
      </c>
      <c r="C40" s="162"/>
      <c r="D40" s="87">
        <v>0</v>
      </c>
      <c r="E40" s="87">
        <v>0</v>
      </c>
      <c r="F40" s="87">
        <v>0</v>
      </c>
      <c r="G40" s="87">
        <v>0</v>
      </c>
      <c r="H40" s="87">
        <v>0</v>
      </c>
      <c r="I40" s="87">
        <v>0</v>
      </c>
      <c r="J40" s="87"/>
      <c r="L40" s="50" t="s">
        <v>118</v>
      </c>
      <c r="M40" s="163" t="s">
        <v>119</v>
      </c>
      <c r="N40" s="163"/>
      <c r="O40" s="51">
        <v>0</v>
      </c>
      <c r="P40" s="53">
        <v>0</v>
      </c>
      <c r="Q40" s="51">
        <v>0</v>
      </c>
      <c r="R40" s="53">
        <v>0</v>
      </c>
      <c r="S40" s="51">
        <v>0</v>
      </c>
      <c r="T40" s="53">
        <v>0</v>
      </c>
      <c r="U40" s="51"/>
    </row>
    <row r="41" spans="1:21" ht="46.5" x14ac:dyDescent="0.5">
      <c r="A41" s="48"/>
      <c r="B41" s="48">
        <v>4.0999999999999996</v>
      </c>
      <c r="C41" s="48" t="s">
        <v>120</v>
      </c>
      <c r="D41" s="87">
        <v>0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/>
      <c r="L41" s="50"/>
      <c r="M41" s="50">
        <v>4.0999999999999996</v>
      </c>
      <c r="N41" s="50" t="s">
        <v>120</v>
      </c>
      <c r="O41" s="51">
        <v>0</v>
      </c>
      <c r="P41" s="53">
        <v>0</v>
      </c>
      <c r="Q41" s="51">
        <v>0</v>
      </c>
      <c r="R41" s="53">
        <v>0</v>
      </c>
      <c r="S41" s="51">
        <v>0</v>
      </c>
      <c r="T41" s="53">
        <v>0</v>
      </c>
      <c r="U41" s="51"/>
    </row>
    <row r="42" spans="1:21" ht="23.25" x14ac:dyDescent="0.5">
      <c r="A42" s="48"/>
      <c r="B42" s="48"/>
      <c r="C42" s="48" t="s">
        <v>121</v>
      </c>
      <c r="D42" s="87"/>
      <c r="E42" s="87" t="e">
        <f>#REF!</f>
        <v>#REF!</v>
      </c>
      <c r="F42" s="87"/>
      <c r="G42" s="87"/>
      <c r="H42" s="87"/>
      <c r="I42" s="87"/>
      <c r="J42" s="87"/>
      <c r="L42" s="50"/>
      <c r="M42" s="50"/>
      <c r="N42" s="50" t="s">
        <v>121</v>
      </c>
      <c r="O42" s="51"/>
      <c r="P42" s="53" t="e">
        <f>#REF!</f>
        <v>#REF!</v>
      </c>
      <c r="Q42" s="51"/>
      <c r="R42" s="53"/>
      <c r="S42" s="51"/>
      <c r="T42" s="53"/>
      <c r="U42" s="51"/>
    </row>
    <row r="43" spans="1:21" ht="23.25" x14ac:dyDescent="0.5">
      <c r="A43" s="48"/>
      <c r="B43" s="48"/>
      <c r="C43" s="48" t="s">
        <v>122</v>
      </c>
      <c r="D43" s="87"/>
      <c r="E43" s="87"/>
      <c r="F43" s="87"/>
      <c r="G43" s="87"/>
      <c r="H43" s="87"/>
      <c r="I43" s="87"/>
      <c r="J43" s="87"/>
      <c r="L43" s="50"/>
      <c r="M43" s="50"/>
      <c r="N43" s="50" t="s">
        <v>122</v>
      </c>
      <c r="O43" s="51"/>
      <c r="P43" s="53"/>
      <c r="Q43" s="51"/>
      <c r="R43" s="53"/>
      <c r="S43" s="51"/>
      <c r="T43" s="53"/>
      <c r="U43" s="51"/>
    </row>
    <row r="44" spans="1:21" ht="23.25" x14ac:dyDescent="0.5">
      <c r="A44" s="48"/>
      <c r="B44" s="48"/>
      <c r="C44" s="48" t="s">
        <v>123</v>
      </c>
      <c r="D44" s="87"/>
      <c r="E44" s="87"/>
      <c r="F44" s="87"/>
      <c r="G44" s="87"/>
      <c r="H44" s="87"/>
      <c r="I44" s="87"/>
      <c r="J44" s="87"/>
      <c r="L44" s="50"/>
      <c r="M44" s="50"/>
      <c r="N44" s="50" t="s">
        <v>123</v>
      </c>
      <c r="O44" s="51"/>
      <c r="P44" s="53"/>
      <c r="Q44" s="51"/>
      <c r="R44" s="53"/>
      <c r="S44" s="51"/>
      <c r="T44" s="53"/>
      <c r="U44" s="51"/>
    </row>
    <row r="45" spans="1:21" ht="23.25" x14ac:dyDescent="0.5">
      <c r="A45" s="48"/>
      <c r="B45" s="48"/>
      <c r="C45" s="48" t="s">
        <v>124</v>
      </c>
      <c r="D45" s="87"/>
      <c r="E45" s="87"/>
      <c r="F45" s="87"/>
      <c r="G45" s="87"/>
      <c r="H45" s="87"/>
      <c r="I45" s="87"/>
      <c r="J45" s="87"/>
      <c r="L45" s="50"/>
      <c r="M45" s="50"/>
      <c r="N45" s="50" t="s">
        <v>124</v>
      </c>
      <c r="O45" s="51"/>
      <c r="P45" s="53"/>
      <c r="Q45" s="51"/>
      <c r="R45" s="53"/>
      <c r="S45" s="51"/>
      <c r="T45" s="53"/>
      <c r="U45" s="51"/>
    </row>
    <row r="46" spans="1:21" ht="93" x14ac:dyDescent="0.5">
      <c r="A46" s="48"/>
      <c r="B46" s="48"/>
      <c r="C46" s="48" t="s">
        <v>125</v>
      </c>
      <c r="D46" s="87"/>
      <c r="E46" s="87"/>
      <c r="F46" s="87"/>
      <c r="G46" s="87"/>
      <c r="H46" s="87"/>
      <c r="I46" s="87"/>
      <c r="J46" s="87"/>
      <c r="L46" s="50"/>
      <c r="M46" s="50"/>
      <c r="N46" s="50" t="s">
        <v>125</v>
      </c>
      <c r="O46" s="51"/>
      <c r="P46" s="53"/>
      <c r="Q46" s="51"/>
      <c r="R46" s="53"/>
      <c r="S46" s="51"/>
      <c r="T46" s="53"/>
      <c r="U46" s="51"/>
    </row>
    <row r="47" spans="1:21" ht="46.5" x14ac:dyDescent="0.5">
      <c r="A47" s="48"/>
      <c r="B47" s="48"/>
      <c r="C47" s="48" t="s">
        <v>126</v>
      </c>
      <c r="D47" s="87"/>
      <c r="E47" s="87"/>
      <c r="F47" s="87"/>
      <c r="G47" s="87"/>
      <c r="H47" s="87"/>
      <c r="I47" s="87"/>
      <c r="J47" s="87"/>
      <c r="L47" s="50"/>
      <c r="M47" s="50"/>
      <c r="N47" s="50" t="s">
        <v>126</v>
      </c>
      <c r="O47" s="51"/>
      <c r="P47" s="53"/>
      <c r="Q47" s="51"/>
      <c r="R47" s="53"/>
      <c r="S47" s="51"/>
      <c r="T47" s="53"/>
      <c r="U47" s="51"/>
    </row>
    <row r="48" spans="1:21" ht="46.5" x14ac:dyDescent="0.5">
      <c r="A48" s="48"/>
      <c r="B48" s="48" t="s">
        <v>127</v>
      </c>
      <c r="C48" s="48" t="s">
        <v>128</v>
      </c>
      <c r="D48" s="87"/>
      <c r="E48" s="87"/>
      <c r="F48" s="87"/>
      <c r="G48" s="87"/>
      <c r="H48" s="87"/>
      <c r="I48" s="87"/>
      <c r="J48" s="87"/>
      <c r="L48" s="50"/>
      <c r="M48" s="50" t="s">
        <v>127</v>
      </c>
      <c r="N48" s="50" t="s">
        <v>128</v>
      </c>
      <c r="O48" s="51"/>
      <c r="P48" s="53"/>
      <c r="Q48" s="51"/>
      <c r="R48" s="53"/>
      <c r="S48" s="51"/>
      <c r="T48" s="53"/>
      <c r="U48" s="51"/>
    </row>
    <row r="49" spans="1:21" ht="46.5" x14ac:dyDescent="0.5">
      <c r="A49" s="48"/>
      <c r="B49" s="48" t="s">
        <v>129</v>
      </c>
      <c r="C49" s="48" t="s">
        <v>130</v>
      </c>
      <c r="D49" s="87"/>
      <c r="E49" s="87"/>
      <c r="F49" s="87"/>
      <c r="G49" s="87"/>
      <c r="H49" s="87"/>
      <c r="I49" s="87"/>
      <c r="J49" s="87"/>
      <c r="L49" s="50"/>
      <c r="M49" s="50" t="s">
        <v>129</v>
      </c>
      <c r="N49" s="50" t="s">
        <v>130</v>
      </c>
      <c r="O49" s="51"/>
      <c r="P49" s="53"/>
      <c r="Q49" s="51"/>
      <c r="R49" s="53"/>
      <c r="S49" s="51"/>
      <c r="T49" s="53"/>
      <c r="U49" s="51"/>
    </row>
    <row r="50" spans="1:21" ht="46.5" x14ac:dyDescent="0.5">
      <c r="A50" s="48"/>
      <c r="B50" s="48" t="s">
        <v>131</v>
      </c>
      <c r="C50" s="48" t="s">
        <v>132</v>
      </c>
      <c r="D50" s="87"/>
      <c r="E50" s="87" t="e">
        <f>#REF!</f>
        <v>#REF!</v>
      </c>
      <c r="F50" s="87"/>
      <c r="G50" s="87"/>
      <c r="H50" s="87"/>
      <c r="I50" s="87"/>
      <c r="J50" s="87"/>
      <c r="L50" s="50"/>
      <c r="M50" s="50" t="s">
        <v>131</v>
      </c>
      <c r="N50" s="50" t="s">
        <v>132</v>
      </c>
      <c r="O50" s="51"/>
      <c r="P50" s="53" t="e">
        <f>#REF!</f>
        <v>#REF!</v>
      </c>
      <c r="Q50" s="51"/>
      <c r="R50" s="53"/>
      <c r="S50" s="51"/>
      <c r="T50" s="53"/>
      <c r="U50" s="51"/>
    </row>
    <row r="51" spans="1:21" ht="46.5" x14ac:dyDescent="0.5">
      <c r="A51" s="48"/>
      <c r="B51" s="48" t="s">
        <v>133</v>
      </c>
      <c r="C51" s="48" t="s">
        <v>134</v>
      </c>
      <c r="D51" s="87"/>
      <c r="E51" s="87"/>
      <c r="F51" s="87"/>
      <c r="G51" s="87"/>
      <c r="H51" s="87"/>
      <c r="I51" s="87"/>
      <c r="J51" s="87"/>
      <c r="L51" s="50"/>
      <c r="M51" s="50" t="s">
        <v>133</v>
      </c>
      <c r="N51" s="50" t="s">
        <v>134</v>
      </c>
      <c r="O51" s="51"/>
      <c r="P51" s="53"/>
      <c r="Q51" s="51"/>
      <c r="R51" s="53"/>
      <c r="S51" s="51"/>
      <c r="T51" s="53"/>
      <c r="U51" s="51"/>
    </row>
    <row r="52" spans="1:21" ht="46.5" x14ac:dyDescent="0.5">
      <c r="A52" s="48"/>
      <c r="B52" s="48" t="s">
        <v>135</v>
      </c>
      <c r="C52" s="48" t="s">
        <v>136</v>
      </c>
      <c r="D52" s="87"/>
      <c r="E52" s="87"/>
      <c r="F52" s="87"/>
      <c r="G52" s="87"/>
      <c r="H52" s="87"/>
      <c r="I52" s="87"/>
      <c r="J52" s="87"/>
      <c r="L52" s="50"/>
      <c r="M52" s="50" t="s">
        <v>135</v>
      </c>
      <c r="N52" s="50" t="s">
        <v>136</v>
      </c>
      <c r="O52" s="51"/>
      <c r="P52" s="53"/>
      <c r="Q52" s="51"/>
      <c r="R52" s="53"/>
      <c r="S52" s="51"/>
      <c r="T52" s="53"/>
      <c r="U52" s="51"/>
    </row>
    <row r="53" spans="1:21" ht="46.5" x14ac:dyDescent="0.5">
      <c r="A53" s="48"/>
      <c r="B53" s="48" t="s">
        <v>137</v>
      </c>
      <c r="C53" s="48" t="s">
        <v>138</v>
      </c>
      <c r="D53" s="87"/>
      <c r="E53" s="87"/>
      <c r="F53" s="87"/>
      <c r="G53" s="87"/>
      <c r="H53" s="87"/>
      <c r="I53" s="87" t="e">
        <f>#REF!</f>
        <v>#REF!</v>
      </c>
      <c r="J53" s="87"/>
      <c r="L53" s="50"/>
      <c r="M53" s="50" t="s">
        <v>137</v>
      </c>
      <c r="N53" s="50" t="s">
        <v>138</v>
      </c>
      <c r="O53" s="51"/>
      <c r="P53" s="53"/>
      <c r="Q53" s="51"/>
      <c r="R53" s="53"/>
      <c r="S53" s="51"/>
      <c r="T53" s="53" t="e">
        <f>#REF!</f>
        <v>#REF!</v>
      </c>
      <c r="U53" s="51"/>
    </row>
    <row r="54" spans="1:21" ht="46.5" x14ac:dyDescent="0.5">
      <c r="A54" s="48"/>
      <c r="B54" s="48" t="s">
        <v>139</v>
      </c>
      <c r="C54" s="48" t="s">
        <v>140</v>
      </c>
      <c r="D54" s="87"/>
      <c r="E54" s="87" t="e">
        <f>#REF!</f>
        <v>#REF!</v>
      </c>
      <c r="F54" s="87"/>
      <c r="G54" s="87"/>
      <c r="H54" s="87"/>
      <c r="I54" s="87"/>
      <c r="J54" s="87"/>
      <c r="L54" s="50"/>
      <c r="M54" s="50" t="s">
        <v>139</v>
      </c>
      <c r="N54" s="50" t="s">
        <v>140</v>
      </c>
      <c r="O54" s="51"/>
      <c r="P54" s="53" t="e">
        <f>#REF!</f>
        <v>#REF!</v>
      </c>
      <c r="Q54" s="51"/>
      <c r="R54" s="53"/>
      <c r="S54" s="51"/>
      <c r="T54" s="53"/>
      <c r="U54" s="51"/>
    </row>
    <row r="55" spans="1:21" ht="46.5" x14ac:dyDescent="0.5">
      <c r="A55" s="48"/>
      <c r="B55" s="48" t="s">
        <v>141</v>
      </c>
      <c r="C55" s="48" t="s">
        <v>142</v>
      </c>
      <c r="D55" s="87"/>
      <c r="E55" s="87"/>
      <c r="F55" s="87"/>
      <c r="G55" s="87"/>
      <c r="H55" s="87"/>
      <c r="I55" s="87"/>
      <c r="J55" s="87"/>
      <c r="L55" s="50"/>
      <c r="M55" s="50" t="s">
        <v>141</v>
      </c>
      <c r="N55" s="50" t="s">
        <v>142</v>
      </c>
      <c r="O55" s="51"/>
      <c r="P55" s="53"/>
      <c r="Q55" s="51"/>
      <c r="R55" s="53"/>
      <c r="S55" s="51"/>
      <c r="T55" s="53"/>
      <c r="U55" s="51"/>
    </row>
    <row r="56" spans="1:21" ht="46.5" x14ac:dyDescent="0.5">
      <c r="A56" s="48" t="s">
        <v>143</v>
      </c>
      <c r="B56" s="162" t="s">
        <v>144</v>
      </c>
      <c r="C56" s="162"/>
      <c r="D56" s="87">
        <v>0</v>
      </c>
      <c r="E56" s="87">
        <v>0</v>
      </c>
      <c r="F56" s="87">
        <v>0</v>
      </c>
      <c r="G56" s="87">
        <v>0</v>
      </c>
      <c r="H56" s="87">
        <v>0</v>
      </c>
      <c r="I56" s="87">
        <v>0</v>
      </c>
      <c r="J56" s="87"/>
      <c r="L56" s="50" t="s">
        <v>143</v>
      </c>
      <c r="M56" s="163" t="s">
        <v>144</v>
      </c>
      <c r="N56" s="163"/>
      <c r="O56" s="51">
        <v>0</v>
      </c>
      <c r="P56" s="53">
        <v>0</v>
      </c>
      <c r="Q56" s="51">
        <v>0</v>
      </c>
      <c r="R56" s="53">
        <v>0</v>
      </c>
      <c r="S56" s="51">
        <v>0</v>
      </c>
      <c r="T56" s="53">
        <v>0</v>
      </c>
      <c r="U56" s="51"/>
    </row>
    <row r="57" spans="1:21" ht="46.5" x14ac:dyDescent="0.5">
      <c r="A57" s="48"/>
      <c r="B57" s="48" t="s">
        <v>145</v>
      </c>
      <c r="C57" s="48" t="s">
        <v>146</v>
      </c>
      <c r="D57" s="87"/>
      <c r="E57" s="87" t="e">
        <f>#REF!</f>
        <v>#REF!</v>
      </c>
      <c r="F57" s="87"/>
      <c r="G57" s="87"/>
      <c r="H57" s="87"/>
      <c r="I57" s="87"/>
      <c r="J57" s="87"/>
      <c r="L57" s="50"/>
      <c r="M57" s="50" t="s">
        <v>145</v>
      </c>
      <c r="N57" s="50" t="s">
        <v>146</v>
      </c>
      <c r="O57" s="51"/>
      <c r="P57" s="53" t="e">
        <f>#REF!</f>
        <v>#REF!</v>
      </c>
      <c r="Q57" s="51"/>
      <c r="R57" s="53"/>
      <c r="S57" s="51"/>
      <c r="T57" s="53"/>
      <c r="U57" s="51"/>
    </row>
    <row r="58" spans="1:21" ht="46.5" x14ac:dyDescent="0.5">
      <c r="A58" s="48"/>
      <c r="B58" s="48" t="s">
        <v>147</v>
      </c>
      <c r="C58" s="48" t="s">
        <v>148</v>
      </c>
      <c r="D58" s="87"/>
      <c r="E58" s="87"/>
      <c r="F58" s="87"/>
      <c r="G58" s="87"/>
      <c r="H58" s="87"/>
      <c r="I58" s="87"/>
      <c r="J58" s="87"/>
      <c r="L58" s="50"/>
      <c r="M58" s="50" t="s">
        <v>147</v>
      </c>
      <c r="N58" s="50" t="s">
        <v>148</v>
      </c>
      <c r="O58" s="51"/>
      <c r="P58" s="53"/>
      <c r="Q58" s="51"/>
      <c r="R58" s="53"/>
      <c r="S58" s="51"/>
      <c r="T58" s="53"/>
      <c r="U58" s="51"/>
    </row>
    <row r="59" spans="1:21" ht="46.5" x14ac:dyDescent="0.5">
      <c r="A59" s="48"/>
      <c r="B59" s="48" t="s">
        <v>149</v>
      </c>
      <c r="C59" s="48" t="s">
        <v>150</v>
      </c>
      <c r="D59" s="87"/>
      <c r="E59" s="87" t="e">
        <f>#REF!</f>
        <v>#REF!</v>
      </c>
      <c r="F59" s="87"/>
      <c r="G59" s="87"/>
      <c r="H59" s="87"/>
      <c r="I59" s="87"/>
      <c r="J59" s="87"/>
      <c r="L59" s="50"/>
      <c r="M59" s="50" t="s">
        <v>149</v>
      </c>
      <c r="N59" s="50" t="s">
        <v>150</v>
      </c>
      <c r="O59" s="51"/>
      <c r="P59" s="53"/>
      <c r="Q59" s="51"/>
      <c r="R59" s="53"/>
      <c r="S59" s="51"/>
      <c r="T59" s="53" t="e">
        <f>#REF!</f>
        <v>#REF!</v>
      </c>
      <c r="U59" s="51"/>
    </row>
    <row r="60" spans="1:21" ht="46.5" x14ac:dyDescent="0.5">
      <c r="A60" s="48"/>
      <c r="B60" s="48" t="s">
        <v>151</v>
      </c>
      <c r="C60" s="48" t="s">
        <v>30</v>
      </c>
      <c r="D60" s="87"/>
      <c r="E60" s="87"/>
      <c r="F60" s="87"/>
      <c r="G60" s="87"/>
      <c r="H60" s="87"/>
      <c r="I60" s="87"/>
      <c r="J60" s="87"/>
      <c r="L60" s="50"/>
      <c r="M60" s="50" t="s">
        <v>151</v>
      </c>
      <c r="N60" s="50" t="s">
        <v>30</v>
      </c>
      <c r="O60" s="51"/>
      <c r="P60" s="53"/>
      <c r="Q60" s="51"/>
      <c r="R60" s="53"/>
      <c r="S60" s="51"/>
      <c r="T60" s="53"/>
      <c r="U60" s="51"/>
    </row>
    <row r="61" spans="1:21" ht="46.5" x14ac:dyDescent="0.5">
      <c r="A61" s="48"/>
      <c r="B61" s="48" t="s">
        <v>152</v>
      </c>
      <c r="C61" s="48" t="s">
        <v>153</v>
      </c>
      <c r="D61" s="87"/>
      <c r="E61" s="87"/>
      <c r="F61" s="87"/>
      <c r="G61" s="87"/>
      <c r="H61" s="87"/>
      <c r="I61" s="87"/>
      <c r="J61" s="87"/>
      <c r="L61" s="50"/>
      <c r="M61" s="50" t="s">
        <v>152</v>
      </c>
      <c r="N61" s="50" t="s">
        <v>153</v>
      </c>
      <c r="O61" s="51"/>
      <c r="P61" s="53"/>
      <c r="Q61" s="51"/>
      <c r="R61" s="53"/>
      <c r="S61" s="51"/>
      <c r="T61" s="53"/>
      <c r="U61" s="51"/>
    </row>
    <row r="62" spans="1:21" ht="46.5" x14ac:dyDescent="0.5">
      <c r="A62" s="48"/>
      <c r="B62" s="48" t="s">
        <v>154</v>
      </c>
      <c r="C62" s="48" t="s">
        <v>155</v>
      </c>
      <c r="D62" s="87"/>
      <c r="E62" s="87"/>
      <c r="F62" s="87"/>
      <c r="G62" s="87"/>
      <c r="H62" s="87"/>
      <c r="I62" s="87"/>
      <c r="J62" s="87"/>
      <c r="L62" s="50"/>
      <c r="M62" s="50" t="s">
        <v>154</v>
      </c>
      <c r="N62" s="50" t="s">
        <v>155</v>
      </c>
      <c r="O62" s="51"/>
      <c r="P62" s="53"/>
      <c r="Q62" s="51"/>
      <c r="R62" s="53"/>
      <c r="S62" s="51"/>
      <c r="T62" s="53"/>
      <c r="U62" s="51"/>
    </row>
    <row r="63" spans="1:21" ht="69.75" x14ac:dyDescent="0.5">
      <c r="A63" s="48"/>
      <c r="B63" s="48" t="s">
        <v>156</v>
      </c>
      <c r="C63" s="48" t="s">
        <v>157</v>
      </c>
      <c r="D63" s="87"/>
      <c r="E63" s="87"/>
      <c r="F63" s="87"/>
      <c r="G63" s="87"/>
      <c r="H63" s="87"/>
      <c r="I63" s="87"/>
      <c r="J63" s="87"/>
      <c r="L63" s="50"/>
      <c r="M63" s="50" t="s">
        <v>156</v>
      </c>
      <c r="N63" s="50" t="s">
        <v>157</v>
      </c>
      <c r="O63" s="51"/>
      <c r="P63" s="53"/>
      <c r="Q63" s="51"/>
      <c r="R63" s="53"/>
      <c r="S63" s="51"/>
      <c r="T63" s="53" t="s">
        <v>6</v>
      </c>
      <c r="U63" s="51" t="s">
        <v>6</v>
      </c>
    </row>
    <row r="64" spans="1:21" ht="46.5" x14ac:dyDescent="0.5">
      <c r="A64" s="48"/>
      <c r="B64" s="48" t="s">
        <v>158</v>
      </c>
      <c r="C64" s="48" t="s">
        <v>159</v>
      </c>
      <c r="D64" s="87"/>
      <c r="E64" s="87"/>
      <c r="F64" s="87"/>
      <c r="G64" s="87"/>
      <c r="H64" s="87"/>
      <c r="I64" s="87"/>
      <c r="J64" s="87"/>
      <c r="L64" s="50"/>
      <c r="M64" s="50" t="s">
        <v>158</v>
      </c>
      <c r="N64" s="50" t="s">
        <v>159</v>
      </c>
      <c r="O64" s="51"/>
      <c r="P64" s="53"/>
      <c r="Q64" s="51"/>
      <c r="R64" s="53"/>
      <c r="S64" s="51"/>
      <c r="T64" s="53"/>
      <c r="U64" s="51"/>
    </row>
    <row r="65" spans="1:21" ht="46.5" x14ac:dyDescent="0.5">
      <c r="A65" s="48"/>
      <c r="B65" s="48" t="s">
        <v>160</v>
      </c>
      <c r="C65" s="48" t="s">
        <v>161</v>
      </c>
      <c r="D65" s="87"/>
      <c r="E65" s="87" t="e">
        <f>#REF!</f>
        <v>#REF!</v>
      </c>
      <c r="F65" s="87"/>
      <c r="G65" s="87"/>
      <c r="H65" s="87"/>
      <c r="I65" s="87"/>
      <c r="J65" s="87"/>
      <c r="L65" s="50"/>
      <c r="M65" s="50" t="s">
        <v>160</v>
      </c>
      <c r="N65" s="50" t="s">
        <v>161</v>
      </c>
      <c r="O65" s="51"/>
      <c r="P65" s="53" t="e">
        <f>#REF!</f>
        <v>#REF!</v>
      </c>
      <c r="Q65" s="51"/>
      <c r="R65" s="53"/>
      <c r="S65" s="51"/>
      <c r="T65" s="53">
        <v>38000</v>
      </c>
      <c r="U65" s="51"/>
    </row>
    <row r="66" spans="1:21" ht="46.5" x14ac:dyDescent="0.5">
      <c r="A66" s="48"/>
      <c r="B66" s="48" t="s">
        <v>162</v>
      </c>
      <c r="C66" s="48" t="s">
        <v>163</v>
      </c>
      <c r="D66" s="87"/>
      <c r="E66" s="87"/>
      <c r="F66" s="87"/>
      <c r="G66" s="87"/>
      <c r="H66" s="87"/>
      <c r="I66" s="87" t="e">
        <f>#REF!</f>
        <v>#REF!</v>
      </c>
      <c r="J66" s="87"/>
      <c r="L66" s="50"/>
      <c r="M66" s="50" t="s">
        <v>162</v>
      </c>
      <c r="N66" s="50" t="s">
        <v>163</v>
      </c>
      <c r="O66" s="51"/>
      <c r="P66" s="53"/>
      <c r="Q66" s="51"/>
      <c r="R66" s="53"/>
      <c r="S66" s="51"/>
      <c r="T66" s="53" t="e">
        <f>#REF!</f>
        <v>#REF!</v>
      </c>
      <c r="U66" s="51"/>
    </row>
    <row r="67" spans="1:21" ht="23.25" x14ac:dyDescent="0.5">
      <c r="A67" s="48">
        <v>6</v>
      </c>
      <c r="B67" s="162" t="s">
        <v>7</v>
      </c>
      <c r="C67" s="162"/>
      <c r="D67" s="87"/>
      <c r="E67" s="87"/>
      <c r="F67" s="87"/>
      <c r="G67" s="87"/>
      <c r="H67" s="87"/>
      <c r="I67" s="87"/>
      <c r="J67" s="87">
        <v>0</v>
      </c>
      <c r="L67" s="50">
        <v>6</v>
      </c>
      <c r="M67" s="163" t="s">
        <v>7</v>
      </c>
      <c r="N67" s="163"/>
      <c r="O67" s="51"/>
      <c r="P67" s="53"/>
      <c r="Q67" s="51"/>
      <c r="R67" s="53"/>
      <c r="S67" s="51"/>
      <c r="T67" s="53"/>
      <c r="U67" s="51">
        <v>0</v>
      </c>
    </row>
    <row r="68" spans="1:21" ht="46.5" x14ac:dyDescent="0.5">
      <c r="A68" s="48"/>
      <c r="B68" s="48" t="s">
        <v>164</v>
      </c>
      <c r="C68" s="48" t="s">
        <v>165</v>
      </c>
      <c r="D68" s="87"/>
      <c r="E68" s="87"/>
      <c r="F68" s="87"/>
      <c r="G68" s="87"/>
      <c r="H68" s="87"/>
      <c r="I68" s="87"/>
      <c r="J68" s="87"/>
      <c r="L68" s="50"/>
      <c r="M68" s="50" t="s">
        <v>164</v>
      </c>
      <c r="N68" s="50" t="s">
        <v>165</v>
      </c>
      <c r="O68" s="54"/>
      <c r="P68" s="54"/>
      <c r="Q68" s="54"/>
      <c r="R68" s="54"/>
      <c r="S68" s="54"/>
      <c r="T68" s="54"/>
      <c r="U68" s="51"/>
    </row>
    <row r="69" spans="1:21" ht="46.5" x14ac:dyDescent="0.5">
      <c r="A69" s="48"/>
      <c r="B69" s="48" t="s">
        <v>166</v>
      </c>
      <c r="C69" s="48" t="s">
        <v>167</v>
      </c>
      <c r="D69" s="87"/>
      <c r="E69" s="87"/>
      <c r="F69" s="87"/>
      <c r="G69" s="87"/>
      <c r="H69" s="87"/>
      <c r="I69" s="87"/>
      <c r="J69" s="87"/>
      <c r="L69" s="50"/>
      <c r="M69" s="50" t="s">
        <v>166</v>
      </c>
      <c r="N69" s="50" t="s">
        <v>167</v>
      </c>
      <c r="O69" s="54"/>
      <c r="P69" s="54"/>
      <c r="Q69" s="54"/>
      <c r="R69" s="54"/>
      <c r="S69" s="54"/>
      <c r="T69" s="54"/>
      <c r="U69" s="51"/>
    </row>
    <row r="70" spans="1:21" ht="46.5" x14ac:dyDescent="0.5">
      <c r="A70" s="48"/>
      <c r="B70" s="48" t="s">
        <v>168</v>
      </c>
      <c r="C70" s="48" t="s">
        <v>169</v>
      </c>
      <c r="D70" s="87"/>
      <c r="E70" s="87"/>
      <c r="F70" s="87"/>
      <c r="G70" s="87"/>
      <c r="H70" s="87"/>
      <c r="I70" s="87"/>
      <c r="J70" s="87"/>
      <c r="L70" s="50"/>
      <c r="M70" s="50" t="s">
        <v>168</v>
      </c>
      <c r="N70" s="50" t="s">
        <v>169</v>
      </c>
      <c r="O70" s="54"/>
      <c r="P70" s="54"/>
      <c r="Q70" s="54"/>
      <c r="R70" s="54"/>
      <c r="S70" s="54"/>
      <c r="T70" s="54"/>
      <c r="U70" s="51"/>
    </row>
    <row r="71" spans="1:21" ht="46.5" x14ac:dyDescent="0.5">
      <c r="A71" s="48"/>
      <c r="B71" s="48" t="s">
        <v>170</v>
      </c>
      <c r="C71" s="48" t="s">
        <v>171</v>
      </c>
      <c r="D71" s="87"/>
      <c r="E71" s="87" t="e">
        <f>#REF!</f>
        <v>#REF!</v>
      </c>
      <c r="F71" s="87"/>
      <c r="G71" s="87"/>
      <c r="H71" s="87"/>
      <c r="I71" s="87"/>
      <c r="J71" s="87"/>
      <c r="L71" s="50"/>
      <c r="M71" s="50" t="s">
        <v>170</v>
      </c>
      <c r="N71" s="50" t="s">
        <v>171</v>
      </c>
      <c r="O71" s="54"/>
      <c r="P71" s="54"/>
      <c r="Q71" s="54"/>
      <c r="R71" s="54"/>
      <c r="S71" s="54"/>
      <c r="T71" s="54"/>
      <c r="U71" s="51" t="e">
        <f>#REF!</f>
        <v>#REF!</v>
      </c>
    </row>
    <row r="72" spans="1:21" ht="46.5" x14ac:dyDescent="0.5">
      <c r="A72" s="48"/>
      <c r="B72" s="48" t="s">
        <v>172</v>
      </c>
      <c r="C72" s="48" t="s">
        <v>78</v>
      </c>
      <c r="D72" s="87"/>
      <c r="E72" s="87"/>
      <c r="F72" s="87"/>
      <c r="G72" s="87"/>
      <c r="H72" s="87"/>
      <c r="I72" s="87"/>
      <c r="J72" s="87"/>
      <c r="L72" s="50"/>
      <c r="M72" s="50" t="s">
        <v>172</v>
      </c>
      <c r="N72" s="50" t="s">
        <v>78</v>
      </c>
      <c r="O72" s="54"/>
      <c r="P72" s="54"/>
      <c r="Q72" s="54"/>
      <c r="R72" s="54"/>
      <c r="S72" s="54"/>
      <c r="T72" s="54"/>
      <c r="U72" s="51"/>
    </row>
    <row r="73" spans="1:21" ht="23.25" x14ac:dyDescent="0.5">
      <c r="A73" s="48"/>
      <c r="B73" s="162" t="s">
        <v>173</v>
      </c>
      <c r="C73" s="162"/>
      <c r="D73" s="87">
        <v>0</v>
      </c>
      <c r="E73" s="87">
        <v>0</v>
      </c>
      <c r="F73" s="87">
        <v>0</v>
      </c>
      <c r="G73" s="87">
        <v>0</v>
      </c>
      <c r="H73" s="87">
        <v>0</v>
      </c>
      <c r="I73" s="87">
        <v>0</v>
      </c>
      <c r="J73" s="87">
        <v>0</v>
      </c>
      <c r="L73" s="50"/>
      <c r="M73" s="163" t="s">
        <v>173</v>
      </c>
      <c r="N73" s="163"/>
      <c r="O73" s="51">
        <v>0</v>
      </c>
      <c r="P73" s="53">
        <v>0</v>
      </c>
      <c r="Q73" s="51">
        <v>0</v>
      </c>
      <c r="R73" s="53">
        <v>0</v>
      </c>
      <c r="S73" s="51">
        <v>0</v>
      </c>
      <c r="T73" s="53">
        <v>0</v>
      </c>
      <c r="U73" s="51">
        <v>0</v>
      </c>
    </row>
  </sheetData>
  <mergeCells count="28">
    <mergeCell ref="O1:U1"/>
    <mergeCell ref="D2:J2"/>
    <mergeCell ref="O2:U2"/>
    <mergeCell ref="D3:D4"/>
    <mergeCell ref="E3:I3"/>
    <mergeCell ref="O3:O4"/>
    <mergeCell ref="P3:T3"/>
    <mergeCell ref="U3:U4"/>
    <mergeCell ref="A1:A4"/>
    <mergeCell ref="B1:C4"/>
    <mergeCell ref="D1:J1"/>
    <mergeCell ref="L1:L4"/>
    <mergeCell ref="M1:N4"/>
    <mergeCell ref="J3:J4"/>
    <mergeCell ref="B5:C5"/>
    <mergeCell ref="M5:N5"/>
    <mergeCell ref="B13:C13"/>
    <mergeCell ref="M13:N13"/>
    <mergeCell ref="B31:C31"/>
    <mergeCell ref="M31:N31"/>
    <mergeCell ref="B73:C73"/>
    <mergeCell ref="M73:N73"/>
    <mergeCell ref="B40:C40"/>
    <mergeCell ref="M40:N40"/>
    <mergeCell ref="B56:C56"/>
    <mergeCell ref="M56:N56"/>
    <mergeCell ref="B67:C67"/>
    <mergeCell ref="M67:N67"/>
  </mergeCells>
  <pageMargins left="0.25" right="0.25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685D-7990-46D7-8175-8F227AB0BD42}">
  <dimension ref="A1:O29"/>
  <sheetViews>
    <sheetView topLeftCell="A8" workbookViewId="0">
      <selection activeCell="P14" sqref="P14"/>
    </sheetView>
  </sheetViews>
  <sheetFormatPr defaultColWidth="9.5703125" defaultRowHeight="15" x14ac:dyDescent="0.25"/>
  <cols>
    <col min="1" max="1" width="14.42578125" customWidth="1"/>
    <col min="3" max="3" width="10.5703125" bestFit="1" customWidth="1"/>
    <col min="4" max="4" width="19.85546875" bestFit="1" customWidth="1"/>
    <col min="5" max="6" width="12.42578125" customWidth="1"/>
    <col min="8" max="8" width="13.42578125" bestFit="1" customWidth="1"/>
  </cols>
  <sheetData>
    <row r="1" spans="1:2" ht="18.75" x14ac:dyDescent="0.3">
      <c r="A1" s="33" t="s">
        <v>42</v>
      </c>
      <c r="B1" t="s">
        <v>244</v>
      </c>
    </row>
    <row r="2" spans="1:2" ht="18.75" x14ac:dyDescent="0.3">
      <c r="A2" s="34" t="s">
        <v>46</v>
      </c>
      <c r="B2" t="s">
        <v>244</v>
      </c>
    </row>
    <row r="3" spans="1:2" ht="18.75" x14ac:dyDescent="0.3">
      <c r="A3" s="34" t="s">
        <v>47</v>
      </c>
      <c r="B3" t="s">
        <v>244</v>
      </c>
    </row>
    <row r="4" spans="1:2" ht="18.75" x14ac:dyDescent="0.3">
      <c r="A4" s="34" t="s">
        <v>48</v>
      </c>
      <c r="B4" t="s">
        <v>244</v>
      </c>
    </row>
    <row r="5" spans="1:2" ht="18.75" x14ac:dyDescent="0.3">
      <c r="A5" s="34" t="s">
        <v>50</v>
      </c>
      <c r="B5" t="s">
        <v>244</v>
      </c>
    </row>
    <row r="6" spans="1:2" ht="18.75" x14ac:dyDescent="0.3">
      <c r="A6" s="34" t="s">
        <v>51</v>
      </c>
      <c r="B6" t="s">
        <v>244</v>
      </c>
    </row>
    <row r="7" spans="1:2" ht="18.75" x14ac:dyDescent="0.3">
      <c r="A7" s="38" t="s">
        <v>52</v>
      </c>
      <c r="B7" t="s">
        <v>244</v>
      </c>
    </row>
    <row r="8" spans="1:2" ht="18.75" x14ac:dyDescent="0.3">
      <c r="A8" s="38" t="s">
        <v>53</v>
      </c>
      <c r="B8" t="s">
        <v>245</v>
      </c>
    </row>
    <row r="9" spans="1:2" ht="18.75" x14ac:dyDescent="0.3">
      <c r="A9" s="38" t="s">
        <v>230</v>
      </c>
      <c r="B9" t="s">
        <v>245</v>
      </c>
    </row>
    <row r="10" spans="1:2" ht="18.75" x14ac:dyDescent="0.3">
      <c r="A10" s="38" t="s">
        <v>231</v>
      </c>
      <c r="B10" t="s">
        <v>245</v>
      </c>
    </row>
    <row r="11" spans="1:2" ht="18.75" x14ac:dyDescent="0.3">
      <c r="A11" s="38" t="s">
        <v>63</v>
      </c>
      <c r="B11" t="s">
        <v>245</v>
      </c>
    </row>
    <row r="12" spans="1:2" ht="18.75" x14ac:dyDescent="0.3">
      <c r="A12" s="38" t="s">
        <v>64</v>
      </c>
      <c r="B12" t="s">
        <v>245</v>
      </c>
    </row>
    <row r="13" spans="1:2" ht="18.75" x14ac:dyDescent="0.3">
      <c r="A13" s="38" t="s">
        <v>61</v>
      </c>
      <c r="B13" t="s">
        <v>245</v>
      </c>
    </row>
    <row r="14" spans="1:2" ht="18.75" x14ac:dyDescent="0.3">
      <c r="A14" s="36" t="s">
        <v>49</v>
      </c>
      <c r="B14" t="s">
        <v>245</v>
      </c>
    </row>
    <row r="20" spans="1:15" ht="30" x14ac:dyDescent="0.25">
      <c r="A20" s="170" t="s">
        <v>0</v>
      </c>
      <c r="B20" s="170" t="s">
        <v>278</v>
      </c>
      <c r="C20" s="170" t="s">
        <v>281</v>
      </c>
      <c r="D20" s="170" t="s">
        <v>282</v>
      </c>
      <c r="E20" s="170" t="s">
        <v>284</v>
      </c>
      <c r="F20" s="170"/>
      <c r="G20" s="170" t="s">
        <v>288</v>
      </c>
      <c r="H20" s="129" t="s">
        <v>285</v>
      </c>
    </row>
    <row r="21" spans="1:15" ht="30" x14ac:dyDescent="0.25">
      <c r="A21" s="170"/>
      <c r="B21" s="170"/>
      <c r="C21" s="170"/>
      <c r="D21" s="170"/>
      <c r="E21" s="129" t="s">
        <v>283</v>
      </c>
      <c r="F21" s="129" t="s">
        <v>290</v>
      </c>
      <c r="G21" s="170"/>
      <c r="H21" s="129" t="s">
        <v>289</v>
      </c>
      <c r="K21" s="129" t="s">
        <v>291</v>
      </c>
      <c r="L21" s="131" t="s">
        <v>247</v>
      </c>
    </row>
    <row r="22" spans="1:15" x14ac:dyDescent="0.25">
      <c r="A22" s="128" t="s">
        <v>279</v>
      </c>
      <c r="B22" s="128">
        <v>5</v>
      </c>
      <c r="C22" s="128">
        <v>172</v>
      </c>
      <c r="D22" s="130">
        <f>C22*0.5</f>
        <v>86</v>
      </c>
      <c r="E22" s="130">
        <v>3.15</v>
      </c>
      <c r="F22" s="130">
        <f>C22*E22</f>
        <v>541.79999999999995</v>
      </c>
      <c r="G22" s="130">
        <f>C22*1.35</f>
        <v>232.20000000000002</v>
      </c>
      <c r="H22" s="130">
        <f>C22*1.85</f>
        <v>318.2</v>
      </c>
      <c r="K22" s="132">
        <f>B22*C22</f>
        <v>860</v>
      </c>
      <c r="L22" s="132">
        <f>F22+H22</f>
        <v>860</v>
      </c>
    </row>
    <row r="23" spans="1:15" x14ac:dyDescent="0.25">
      <c r="A23" s="128" t="s">
        <v>280</v>
      </c>
      <c r="B23" s="128"/>
      <c r="C23" s="128"/>
      <c r="D23" s="128"/>
      <c r="E23" s="128"/>
      <c r="F23" s="128"/>
      <c r="G23" s="128"/>
      <c r="H23" s="128"/>
      <c r="K23" s="132">
        <f t="shared" ref="K23:K26" si="0">B23*C23</f>
        <v>0</v>
      </c>
      <c r="L23" s="132">
        <f t="shared" ref="L23:L26" si="1">F23+H23</f>
        <v>0</v>
      </c>
    </row>
    <row r="24" spans="1:15" x14ac:dyDescent="0.25">
      <c r="A24" s="128" t="s">
        <v>245</v>
      </c>
      <c r="B24" s="128">
        <v>30</v>
      </c>
      <c r="C24" s="128">
        <v>7</v>
      </c>
      <c r="D24" s="128">
        <v>0</v>
      </c>
      <c r="E24" s="128">
        <v>0</v>
      </c>
      <c r="F24" s="128">
        <v>0</v>
      </c>
      <c r="G24" s="128">
        <v>0</v>
      </c>
      <c r="H24" s="128">
        <f>C24*B24</f>
        <v>210</v>
      </c>
      <c r="K24" s="132">
        <f t="shared" si="0"/>
        <v>210</v>
      </c>
      <c r="L24" s="132">
        <f t="shared" si="1"/>
        <v>210</v>
      </c>
    </row>
    <row r="25" spans="1:15" x14ac:dyDescent="0.25">
      <c r="A25" s="128" t="s">
        <v>244</v>
      </c>
      <c r="B25" s="128">
        <v>300</v>
      </c>
      <c r="C25" s="128">
        <v>0</v>
      </c>
      <c r="D25" s="128">
        <v>0</v>
      </c>
      <c r="E25" s="128">
        <v>0</v>
      </c>
      <c r="F25" s="128">
        <v>0</v>
      </c>
      <c r="G25" s="128">
        <v>0</v>
      </c>
      <c r="H25" s="128">
        <f>C25*B25</f>
        <v>0</v>
      </c>
      <c r="K25" s="132">
        <f t="shared" si="0"/>
        <v>0</v>
      </c>
      <c r="L25" s="132">
        <f t="shared" si="1"/>
        <v>0</v>
      </c>
    </row>
    <row r="26" spans="1:15" ht="75" x14ac:dyDescent="0.25">
      <c r="A26" s="129" t="s">
        <v>286</v>
      </c>
      <c r="B26" s="128">
        <v>300</v>
      </c>
      <c r="C26" s="128">
        <v>0</v>
      </c>
      <c r="D26" s="128">
        <v>0</v>
      </c>
      <c r="E26" s="128">
        <v>0</v>
      </c>
      <c r="F26" s="128">
        <v>0</v>
      </c>
      <c r="G26" s="128">
        <v>0</v>
      </c>
      <c r="H26" s="128">
        <f>C26*B26</f>
        <v>0</v>
      </c>
      <c r="K26" s="132">
        <f t="shared" si="0"/>
        <v>0</v>
      </c>
      <c r="L26" s="132">
        <f t="shared" si="1"/>
        <v>0</v>
      </c>
      <c r="O26" s="133"/>
    </row>
    <row r="27" spans="1:15" ht="24" x14ac:dyDescent="0.25">
      <c r="A27" s="128" t="s">
        <v>287</v>
      </c>
      <c r="B27" s="128" t="s">
        <v>6</v>
      </c>
      <c r="C27" s="128">
        <f>SUM(C22:C26)</f>
        <v>179</v>
      </c>
      <c r="D27" s="128">
        <f t="shared" ref="D27:H27" si="2">SUM(D22:D26)</f>
        <v>86</v>
      </c>
      <c r="E27" s="128" t="s">
        <v>6</v>
      </c>
      <c r="F27" s="128">
        <f t="shared" si="2"/>
        <v>541.79999999999995</v>
      </c>
      <c r="G27" s="128">
        <f t="shared" si="2"/>
        <v>232.20000000000002</v>
      </c>
      <c r="H27" s="128">
        <f t="shared" si="2"/>
        <v>528.20000000000005</v>
      </c>
      <c r="J27" t="s">
        <v>4</v>
      </c>
      <c r="K27" s="132">
        <f>SUM(K22:K26)</f>
        <v>1070</v>
      </c>
      <c r="L27" s="132">
        <f>F27+H27</f>
        <v>1070</v>
      </c>
      <c r="O27" s="133"/>
    </row>
    <row r="28" spans="1:15" ht="24" x14ac:dyDescent="0.25">
      <c r="O28" s="133"/>
    </row>
    <row r="29" spans="1:15" ht="24" x14ac:dyDescent="0.25">
      <c r="O29" s="133"/>
    </row>
  </sheetData>
  <mergeCells count="6">
    <mergeCell ref="G20:G21"/>
    <mergeCell ref="E20:F20"/>
    <mergeCell ref="A20:A21"/>
    <mergeCell ref="B20:B21"/>
    <mergeCell ref="C20:C21"/>
    <mergeCell ref="D20:D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เงินคงเหลือประจำวัน</vt:lpstr>
      <vt:lpstr>รับ-จ่าย</vt:lpstr>
      <vt:lpstr>เงินเดือนครู</vt:lpstr>
      <vt:lpstr>รายรับ ปีงบ 2569-1</vt:lpstr>
      <vt:lpstr>รายรับ ปีงบ 2568-2</vt:lpstr>
      <vt:lpstr>บันทึกรายจ่าย 68-2</vt:lpstr>
      <vt:lpstr>บันทึกรายจ่าย 68-1</vt:lpstr>
      <vt:lpstr>แบบบันทึกรายจ่าย  ปีงบ2568-1</vt:lpstr>
      <vt:lpstr>เงินลูกเสือ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Hairy Egg</dc:creator>
  <cp:lastModifiedBy>Admin</cp:lastModifiedBy>
  <cp:lastPrinted>2025-06-09T05:34:50Z</cp:lastPrinted>
  <dcterms:created xsi:type="dcterms:W3CDTF">2023-10-03T06:23:56Z</dcterms:created>
  <dcterms:modified xsi:type="dcterms:W3CDTF">2026-05-24T13:42:09Z</dcterms:modified>
</cp:coreProperties>
</file>